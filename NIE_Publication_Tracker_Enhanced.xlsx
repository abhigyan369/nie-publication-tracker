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ation Status Tracker NIE" sheetId="1" r:id="rId5"/>
    <sheet state="visible" name="Read Me" sheetId="2" r:id="rId6"/>
    <sheet state="visible" name="Analytics" sheetId="3" r:id="rId7"/>
    <sheet state="visible" name="Dept &amp; Faculty" sheetId="4" r:id="rId8"/>
  </sheets>
  <definedNames/>
  <calcPr/>
</workbook>
</file>

<file path=xl/sharedStrings.xml><?xml version="1.0" encoding="utf-8"?>
<sst xmlns="http://schemas.openxmlformats.org/spreadsheetml/2006/main" count="5178" uniqueCount="1808">
  <si>
    <t>PLANNING &amp; COLLABORATION (new)</t>
  </si>
  <si>
    <t>EXISTING COLUMNS (cleaned &amp; standardised)</t>
  </si>
  <si>
    <t>QUALITY &amp; INDEXING — HIGH PRIORITY (new)</t>
  </si>
  <si>
    <t>Title of the Paper</t>
  </si>
  <si>
    <t>Author(s) List</t>
  </si>
  <si>
    <t>Department</t>
  </si>
  <si>
    <t>Campus</t>
  </si>
  <si>
    <t>Corresponding Author</t>
  </si>
  <si>
    <t>Faculty Designation</t>
  </si>
  <si>
    <t>Status</t>
  </si>
  <si>
    <t>Start Date</t>
  </si>
  <si>
    <t>Submission Date</t>
  </si>
  <si>
    <t>Acceptance Date (Probable)</t>
  </si>
  <si>
    <t>Elapsed Days</t>
  </si>
  <si>
    <t>Publication Type</t>
  </si>
  <si>
    <t>Journal / Conference Name</t>
  </si>
  <si>
    <t>Impact Factor (IF)</t>
  </si>
  <si>
    <t>Scopus Quartile</t>
  </si>
  <si>
    <t>Web of Science (SCI/SCIE/ESCI)</t>
  </si>
  <si>
    <t>DOI / URL</t>
  </si>
  <si>
    <t>Citation Count</t>
  </si>
  <si>
    <t>Citation Updated On</t>
  </si>
  <si>
    <t>Target Journal / Conference</t>
  </si>
  <si>
    <t>Rejection / Revision Count</t>
  </si>
  <si>
    <t>Research Area / Keywords</t>
  </si>
  <si>
    <t>Funding / Grant Title</t>
  </si>
  <si>
    <t>Funding Agency</t>
  </si>
  <si>
    <t>Grant Amount (Rs. Lakhs)</t>
  </si>
  <si>
    <t>External Collaborators</t>
  </si>
  <si>
    <t>Student Co-authors</t>
  </si>
  <si>
    <t>PhD Thesis Link</t>
  </si>
  <si>
    <t>Review Notes / Comments</t>
  </si>
  <si>
    <t>Machine Learning for Bearing Health Monitoring: A Performance Evaluation with Vibration Data</t>
  </si>
  <si>
    <t>Prasanta Kumar Samal, Imran M Jamadar</t>
  </si>
  <si>
    <t>MECH</t>
  </si>
  <si>
    <t>South</t>
  </si>
  <si>
    <t>Ptrasanta Kumar Samal</t>
  </si>
  <si>
    <t>Assistant Professor</t>
  </si>
  <si>
    <t>Under Review</t>
  </si>
  <si>
    <t>21/11/2025</t>
  </si>
  <si>
    <t>Journal Article</t>
  </si>
  <si>
    <t>Q3</t>
  </si>
  <si>
    <t>Yes</t>
  </si>
  <si>
    <t>R2</t>
  </si>
  <si>
    <t>Condition Monitoring of Bearing using Machine Learning</t>
  </si>
  <si>
    <t>None</t>
  </si>
  <si>
    <t>Synergistic Effects of Wood Filler – Glass/Carbon Fibers on the Tribological Behavior of Polypropylene Hybrid Composites</t>
  </si>
  <si>
    <t>H. V. Divya, T. P. Jeevan, T. G. Yashas Gowda &amp; A. Anand</t>
  </si>
  <si>
    <t>Anand A</t>
  </si>
  <si>
    <t>Published</t>
  </si>
  <si>
    <t>Journal</t>
  </si>
  <si>
    <t>Q1</t>
  </si>
  <si>
    <t>Exploring the integration of renewable energy sources for sustainable charging infrastructure in electric vehicles</t>
  </si>
  <si>
    <t>R.A. Priya, Subrata Jana, Sri Harsha Grandhi, Saroj Kumar Nanda, Pappula Sampath Kumar, V. Vikram Athreya</t>
  </si>
  <si>
    <t>Vikram Athreya V</t>
  </si>
  <si>
    <t>22/01/2025</t>
  </si>
  <si>
    <t>Book Chapter</t>
  </si>
  <si>
    <t>Hybrid and Advanced Technologies</t>
  </si>
  <si>
    <t>Q4</t>
  </si>
  <si>
    <t>No</t>
  </si>
  <si>
    <t>http://dx.doi.org/10.1201/9781003559139-52</t>
  </si>
  <si>
    <t>EVs charging</t>
  </si>
  <si>
    <t>Simulation and Optimisation of Automated Robot Workstation of Car Body-in-White using Process Simulate</t>
  </si>
  <si>
    <t>Vikram Athreya V, Sunil Gaekwad, Sharath Chandra N, Sanjay Gowda H M</t>
  </si>
  <si>
    <t>Conference Paper</t>
  </si>
  <si>
    <t>Intelligent Control, Robotics, and Industrial Automation: Proceedings of International Conference, RCAAI 2024</t>
  </si>
  <si>
    <t>https://doi.org/10.1007/978-981-95-2901-8_3</t>
  </si>
  <si>
    <t>Automation system for Automotive body manufacturing</t>
  </si>
  <si>
    <t>Development of CNC Thread Milling Machine with Hobbing Head</t>
  </si>
  <si>
    <t>Sathyanidhi Acharya H R, Vikram Athreya V</t>
  </si>
  <si>
    <t>Morphological Analysis of FDM parts subjected to Surface Treatment</t>
  </si>
  <si>
    <t>Sunil Gaekwad, Sharath Chandra N, Vikram Athreya V</t>
  </si>
  <si>
    <t>Water Salinity Concentration Detection using Photonic Crystal Sensor</t>
  </si>
  <si>
    <t>Shreya H C, Meena Y R, Preeta Sharan, and Sharath Chandra N</t>
  </si>
  <si>
    <t>Shreya H C</t>
  </si>
  <si>
    <t>Accepted</t>
  </si>
  <si>
    <t>Multi-Level Smart Grid Using Naïve Bayes Classifier for Renewable Energy Integration</t>
  </si>
  <si>
    <t>Pavithra Goravi Sukumar, Balachandra parameshwariah, A. M. Prasad, Sharmila Nagaraju, Mallikarjunaswamy Srikantaswamy, Sharath Chandra N</t>
  </si>
  <si>
    <t>Pavithra Goravi Sukumar</t>
  </si>
  <si>
    <t>AI-Driven Intelligent Power Management for Optimized Renewable Energy Utilization</t>
  </si>
  <si>
    <t>Pavithra Goravi Sukumar, Chandana Chikkasiddaiah and Mallikarjunaswamy
Srikantaswamy, Sharmila Nagaraju, Balachandra parameshwariah, Sharath Chandra N</t>
  </si>
  <si>
    <t>Q2</t>
  </si>
  <si>
    <t>Prototype for Stress-based Viral Fever Prediction</t>
  </si>
  <si>
    <t>Anand Srivatsa, Fida Fareesha, Lekhana G, chandanashree yk, gowthami v</t>
  </si>
  <si>
    <t>ECE</t>
  </si>
  <si>
    <t>Dr. Anand srivatsa</t>
  </si>
  <si>
    <t>Associate Professor</t>
  </si>
  <si>
    <r>
      <rPr>
        <rFont val="Arial"/>
        <sz val="9.0"/>
      </rPr>
      <t xml:space="preserve">Journal (TASET) </t>
    </r>
    <r>
      <rPr>
        <rFont val="Arial"/>
        <color rgb="FF1155CC"/>
        <sz val="9.0"/>
        <u/>
      </rPr>
      <t>lanshscience.com</t>
    </r>
    <r>
      <rPr>
        <rFont val="Arial"/>
        <sz val="9.0"/>
      </rPr>
      <t xml:space="preserve"> </t>
    </r>
  </si>
  <si>
    <t>Online Inspection of Sprocket using Cognex Vision
Sensor IS2000</t>
  </si>
  <si>
    <t>Dr. Prakash K R, VinodKumar H P, Ravalnath Bhat</t>
  </si>
  <si>
    <t>VinodKumar H P</t>
  </si>
  <si>
    <t>Submitted</t>
  </si>
  <si>
    <t>A Novel Suction Cup System to Open Cardboard Box Corrugated Partition for Packing</t>
  </si>
  <si>
    <t>Hruthik P N, VinodKumar H P</t>
  </si>
  <si>
    <t>Residual vibrations control of a 3D printed lightweight single link flexible manipulator.</t>
  </si>
  <si>
    <t>Imran M Jamadar, allwin yesuvadian R, Prasanta Kumar Samal, VinodKumar H P, Anand A</t>
  </si>
  <si>
    <t>Imran M Jamadar</t>
  </si>
  <si>
    <t>Professor</t>
  </si>
  <si>
    <t>Sigma Journal of Engineering and Natural Sciences</t>
  </si>
  <si>
    <t xml:space="preserve"> 10.14744/sigma.2025.00167</t>
  </si>
  <si>
    <t>31-03-2026</t>
  </si>
  <si>
    <t>Vibration control, 3D printing, PLC control, ANSYS</t>
  </si>
  <si>
    <t>State University Research Excellence</t>
  </si>
  <si>
    <t>SERB</t>
  </si>
  <si>
    <t>PG Only</t>
  </si>
  <si>
    <t>A Study of Impact Toughness Behavior and High Cycle Fatigue Properties of Al-Li 8090 Alloy Processed by Cryorolling and Post-Deformation Annealing</t>
  </si>
  <si>
    <t>Yogesha K K, Subham Thapliyal, Amit Joshi, Saurabh Gairola, GK Kalavathi, MG Vasundhara, B Muralidhara,</t>
  </si>
  <si>
    <t xml:space="preserve">Amit Joshi </t>
  </si>
  <si>
    <t>Fatigue and Fracture Behaviour of 5052 Al Alloy Processed through Combined Severe Plastic Deformation Method</t>
  </si>
  <si>
    <t>Yogesha K K, Amit Joshi , Saurabh Gairola, R. Jayaganthan, G. M. Owolabi.</t>
  </si>
  <si>
    <t>"Sustainable Performance Enhancement of Polypropylene Composites Using Areca Husk Powder Reinforcement: A Comprehensive Analysis"</t>
  </si>
  <si>
    <t>Yogesha K K, Chandan M.</t>
  </si>
  <si>
    <t xml:space="preserve">Yogesha K K </t>
  </si>
  <si>
    <t>"Optimizing Areca Husk Powder-Polypropylene Composites using Fuzzy AHP and 
TOPSIS"</t>
  </si>
  <si>
    <t>Yogesha K K, Chandan M</t>
  </si>
  <si>
    <t>Yogesha K K</t>
  </si>
  <si>
    <t>A Comparative Analysis of Machine Learning Algorithms for Fault Classification in Cylindrical Roller Bearings</t>
  </si>
  <si>
    <t>Prasanta Kumar Samal</t>
  </si>
  <si>
    <t>FME Transactions</t>
  </si>
  <si>
    <t>doi: 10.5937/fme2504681K</t>
  </si>
  <si>
    <t>Vibration based Condition monitoring of Cylinderical Bearing using machine learning</t>
  </si>
  <si>
    <t>Real-Time Autonomous Driving: A Unified Single-Stage Multi-Task Network Architecture</t>
  </si>
  <si>
    <t>Dr.        S. RAGHAVENDRA,Dr.        RAJALEKSHMI KISHORE, Mr.        S. K. ABHILASH,Miss        VENU MADHAV NOOKALA,Dr. MANISH VARUN YADAV</t>
  </si>
  <si>
    <t>Rajalekshmi Kishore</t>
  </si>
  <si>
    <t>IEEE Access (Journal)</t>
  </si>
  <si>
    <t>Digital Object Identifier 10.1109/ACCESS.2025.3572107</t>
  </si>
  <si>
    <r>
      <rPr>
        <rFont val="Arial"/>
        <color rgb="FF0000FF"/>
        <sz val="9.0"/>
        <u/>
      </rPr>
      <t>https://ieeexplore.ieee.org/stamp/stamp.jsp?tp=&amp;arnumber=11008573</t>
    </r>
    <r>
      <rPr>
        <rFont val="Arial"/>
        <color rgb="FF000000"/>
        <sz val="9.0"/>
      </rPr>
      <t xml:space="preserve">      Note: This journal article was published in collobaration with Manipal Institute of Technology , Manipal</t>
    </r>
  </si>
  <si>
    <t>Wireless Vision: Human Object Detection Through Obstacles</t>
  </si>
  <si>
    <t>Rohit Kumar, Rajiv Chaura Priyansi , Aloy Anuja Mary and Rajalekshmi Kishore</t>
  </si>
  <si>
    <t xml:space="preserve">
Proceedings of the 2025 International Conference on Advanced Research in Electronics and Communication Systems (ICARECS-2025)</t>
  </si>
  <si>
    <t xml:space="preserve">
10.2991/978-94-6463-754-0_43</t>
  </si>
  <si>
    <t>In-silico studies of 3-tert-butyl-7-[2-phenyl ethenyl]-4H-[1,3,4]thiadiazolo [2,3-c][1,2,4] triazin-4-one as a Potential SARS-CoV-2 Inhibitor: Insights from an experimental and computational approach</t>
  </si>
  <si>
    <t>Chandra, Lohith T.N.,  B. H. Gayathri, Mehran Feizi-Dehnayebi, Karthik V, Shamantha Kumar, Divya, M.A. Sridhar, M. Mahendra, Ghodsi Mohammadi Ziarani</t>
  </si>
  <si>
    <t>PHY</t>
  </si>
  <si>
    <t>B. H. Gayathri</t>
  </si>
  <si>
    <t>Growth, and characterization of the nonlinear optical crystal 2’, 3’‑Di‑O‑acetyl‑5’‑deoxy‑5‑fluoro‑N4‑ (pentyloxycarbonyl) cytidine: structural, optical, thermal, electrical, and molecular docking studies</t>
  </si>
  <si>
    <t>Dhanushchandraguru H M, Hemaraju B C, Chandra, Vinay Kumar D C, Vinayakprasanna N Hegde , Manju V V, Deeksha K B and Yashas Gowda T G</t>
  </si>
  <si>
    <t>Hemaraju B C</t>
  </si>
  <si>
    <t>Eco-friendly Synthesis of BiVO4 Nanoparticles from Ipomoea Campanulata Leaf Extracts: Advances in Photocatalysis and Electrochemical Sensing</t>
  </si>
  <si>
    <t>Sunil Kumar K C, Chandra, Lakshmi Ranganatha V, Shivaganga G S, Soundarya T L, Nagaraju G, Mallikarjunaswamy C</t>
  </si>
  <si>
    <t>Chandra</t>
  </si>
  <si>
    <t xml:space="preserve"> Comprehensive structural, electronic, and in-silico characterization of 
1-phenyl-5-(m-tolyl)-1H-tetrazole as a potential steroidogenic factor-1 
(SF-1) inhibitor candidate</t>
  </si>
  <si>
    <t>H.M. Dhanushchandraguru, B.C. Hemaraju,  Chandra
 Vinay Kumar D C, B.S. Chethan,  P. Akhileshwari, R. Preetham
, M.P. Sadashiva</t>
  </si>
  <si>
    <t>B.C. Hemaraju</t>
  </si>
  <si>
    <t>Adaptability and Performance of WiNoC AcrossDifferent Mesh Sizes</t>
  </si>
  <si>
    <t>Shruthi R, Shashidhara H R, Manju Rajan, Bhargavi V, Anagha M A, Sagar D K</t>
  </si>
  <si>
    <t>Shruthi R</t>
  </si>
  <si>
    <t>Organic fluorine (C–F⋯F–C) mediated intermolecular interactions in (E)-3-(2,6-difluorophenyl)-1-(4-nitrophenyl)prop‐2-en-1-one: An intuition from an experimental and computational studies</t>
  </si>
  <si>
    <t>Lohith T.N, Sanjeeva S., Neetha S., Kishorkumar Sindogi, Mohd Sajid Ali, Rajiv Patel</t>
  </si>
  <si>
    <t>Dr. Lohith T. N.</t>
  </si>
  <si>
    <t>Structural elucidation, Hirshfeld surface analysis, DFT, and molecular docking studies of puckered compound: (6aS,12aR)-9-bromo-7,7-dimethyl-docking studies of puckered compound: (6aS,12aR)-9-bromo-7,7-dimethyl-6a,7,12,12a-tetrahydro-6H,13H-thiochromeno[3′,4′:5,6]thiopyrano[4,3-b]quinoline</t>
  </si>
  <si>
    <t>Anindita Bhattacharjee, Subram anya Hegde, Abdul Majeed Kurumbala, Vinay Kumar D. C., Nagarajaiah Honnappa, Mohd Sajid Ali, T. N. Lohith, M. B. Madhus udana Reddy</t>
  </si>
  <si>
    <t>Discovery of novel 1,2,3-Triazole hybrids derivatives as vasorelaxant agents: Molecular structure, Hirshfield surface, in-vivo and in-silico investigation by molecular docking simulation</t>
  </si>
  <si>
    <t>Yassine Rhazi, Ismail Bouadid, Mohamed Eddouks, Asmae Nakkabi, Usama Raza, Lohith T. N., Noemi Deak, Albert Soran, Mohamed El Yazidi, Marwa Alaqarbeh, Abdessamad Tounsi, Mohamed Anouar Harrad</t>
  </si>
  <si>
    <t>Mohamed Anouar Harrad</t>
  </si>
  <si>
    <t>Exploration of piperazine‐citral sulfonyl derivatives: antibacterial and in‐silico studies against methicillin‐resistant Staphylococcus aureus</t>
  </si>
  <si>
    <t>K. Nirusha, H. S. Nagendra Prasad, T. N. Lohith,  P. Saravanan, L. Mallesha, A. P. Anand</t>
  </si>
  <si>
    <t>Nagendra Prasad H.S.</t>
  </si>
  <si>
    <t>Probing the Biological Activity of Isatin Derivatives Against Human Lung Cancer A549 Cells: Cytotoxicity, CT-DNA/BSA Binding, DFT/TD-DFT, Topology, ADME-Tox, Docking and Dynamic Simulations</t>
  </si>
  <si>
    <t>Ghodsi Mohammadi Ziarani, T.N. Lohith, Somayyeh Ghareghomi, Zahra Panahande, Majid Farsadrooh, Maryam Majidinia</t>
  </si>
  <si>
    <t>Mehran Feizi-Dehnayebi</t>
  </si>
  <si>
    <t>Interplay of weak intermolecular interactions (C-H⋅⋅⋅N and C-H⋅⋅⋅π) in pyrazole derivative: Crystal structure, Hirshfeld surface, DFT and in silico studies</t>
  </si>
  <si>
    <t>Madalambika, Lohith T. N., Neetha S, Vivek Hamse Kameshwar, Kothanahally S. Sharath Kumar, Mohd Sajid Ali, Hamad A. Al-Lohedan</t>
  </si>
  <si>
    <t>Revision Required</t>
  </si>
  <si>
    <t>Design, Synthesis, Molecular Docking, DFT Analysis, and Antifungal Evaluation of Novel different 1-((2-chlorophenyl)diphenylmethyl Analogues</t>
  </si>
  <si>
    <t>Shital Khinde, Rajesh Kancherla, H. Nagarajaiah, Lohith T. N., Perwez Alam</t>
  </si>
  <si>
    <t>Santosh Chhajed</t>
  </si>
  <si>
    <t>Probing the intermolecular interactions, binding affinity, charge density distribution of N-(3-chlorophenyl)-2-cyanoacetamide (NCPC) against Alzheimer’s disease: Insights of experimental and computational techniques</t>
  </si>
  <si>
    <t>Vinay Kumar D C., Nagaraja N., Shivaprasad C. M., Mohd Sajid Ali, Chethan B. S., Lohith T. N.</t>
  </si>
  <si>
    <t>Unveiling the structural and theoretical properties of 6-(2-fluoro-3-methylpyridin-4-yl)-2-(4-methoxyphenyl)-N-phenylquinoline-4-carboxamide compound as Sonic Hedgehog protein inhibitor: Synthesis, SCXRD, HSA, DFT, Docking and ADMET studies</t>
  </si>
  <si>
    <t xml:space="preserve">V Shalini, Vinay Kumar D C, Darshini Gowda, B. S Chethan, K. B Harsha, S. M Rajesh, K. S Rangappa </t>
  </si>
  <si>
    <t>K. S Rangappa</t>
  </si>
  <si>
    <t>A comprehensive investigation of 4-(4-chlorophenyl)-3-methyl-6,7,8,9-tetrahydroisoxazolo[5,4-b]quinolin-5(4H)-one as potential anticancer agent: Insights from computational and experimental results through crystal structure analysis</t>
  </si>
  <si>
    <t xml:space="preserve">Darshini Gowda, Vinay Kumar D C, Byresh Gowda, B.S. Chethan, K.B. Harsha, V. Shalini, M.S. Sudhanva, R. Shobith, K.S. Rangappa </t>
  </si>
  <si>
    <t>K.S. Rangappa</t>
  </si>
  <si>
    <t>Design and Characterization of Novel Isatin Derivatives: Insights into Crystal Structure,
Intermolecular Interactions, and DFT Analysis</t>
  </si>
  <si>
    <t>Kishor Prasad S. Chethan B. S., Vinay Kumar D C, Pruthviraj K, Kenchanna S, Lokanath N. K.
Manjunatha K and Sunil, K</t>
  </si>
  <si>
    <t>Sunil, K</t>
  </si>
  <si>
    <t>Structural analysis and computational studies of cyclopropane derivative as an anti-
Alzheimer’s agent: Investigation of interactions by X-ray crystallography, DFT,
molecular docking, and ADMET approaches</t>
  </si>
  <si>
    <t>S. M. Rajesh, Vinay Kumar D C, V. Shalini, K. B. Harsha, Darshini Gowda, K. S. Rangappa</t>
  </si>
  <si>
    <t>K. S. Rangappa</t>
  </si>
  <si>
    <t>Computational Design and Synthesis of Novel Acyl Hydrazone Derivatives Targeting Pyruvate Dehydrogenase Complex as Potent Antibacterial Agents Against E. coli</t>
  </si>
  <si>
    <t>Rashmi Shivakumar., Narendra Kumar, H. K., Narasimha M Beeraka., Vinay Kumar D C., Rangappa K. S., Ibrahim F. Rehan., Frantiˇsek Zigo., and Basappa Basappa.</t>
  </si>
  <si>
    <t>Basappa Basappa</t>
  </si>
  <si>
    <t>Estimation of Negative Pore Water Pressure of Clay Sand Mixtures</t>
  </si>
  <si>
    <t>Jyothi D N, H S Prasanna, Unnam Anil</t>
  </si>
  <si>
    <t>CIVIL</t>
  </si>
  <si>
    <t>Jyothi D N</t>
  </si>
  <si>
    <t>SHRINKAGE LIMIT OF COMPACTED PLAIN AND FIBRE REINFORCED EXPANSIVE SOILS PRE AND POST CONSOLIDATION</t>
  </si>
  <si>
    <t>Unnam Anil, HS Prasanna, Jyothi D N</t>
  </si>
  <si>
    <t>Unnam Anil</t>
  </si>
  <si>
    <t>A COMPARATIVE STUDY OF ESTIMATION OF SETTLEMENT OF FOOTINGS ON NON-PLASTIC SOIL USING FIELD TEST DATA</t>
  </si>
  <si>
    <t>H S Prasanna, Shruthi A N, Unnam Anil, Y M Manjunath</t>
  </si>
  <si>
    <t>H S Prasanna</t>
  </si>
  <si>
    <t>Heat Retentivity of Non-plastic and Low plastic soils</t>
  </si>
  <si>
    <t>H S Prasanna, Vinay kumar K B, Satish HM, Preetham S Patel, Thilak V</t>
  </si>
  <si>
    <t>Vinay Kumar K B</t>
  </si>
  <si>
    <t xml:space="preserve">Dual Adaptive Kalman Filtering Algorithm for Collaborative Assessment of Soh, Soc and Sop of Lithium-Ion Batteries Based on Electric Buses
</t>
  </si>
  <si>
    <t>Mrs Reshma P, Dr V Joshi Manohar</t>
  </si>
  <si>
    <t>EEE</t>
  </si>
  <si>
    <t>Mrs Reshma P</t>
  </si>
  <si>
    <t>Investigation of Viscosity and Tribological Characteristics of Cashew Nut Shell Oil and Castor Oil Blends Using ZDDP as Additives</t>
  </si>
  <si>
    <t>Ravikiran, B. Sachin, T. Raghavendra &amp; Gurukiran Kashyaup,R. Madhusudhana,S. L. Aravind</t>
  </si>
  <si>
    <t>Ravikiran</t>
  </si>
  <si>
    <t>Enhancing biodegradable lubricants with SiO₂ and TiO₂ nanoparticles: effects on viscosity, tribological behavior, rheological performance, and sustainability</t>
  </si>
  <si>
    <t>Ravikiran, K R Prakash, K M Vaibhav, B sachin, C Durga Prasad, Ramesh N Babu</t>
  </si>
  <si>
    <t>Design and fabrication strategies for enhancing patient comfort and sustainability through PETG based 3D-printed orthoses</t>
  </si>
  <si>
    <t>B. Sachin, Charitha M. Rao, N. Keerthi Kumar,C. Durga Prasad,Ashish Kumar,Ravikiran,H. N. Manjunath, S. L. Aravind, Saravana Bavan</t>
  </si>
  <si>
    <t>B.Sachin</t>
  </si>
  <si>
    <t>Experimental Investigation on Mechanical Characteristics of Basalt-Aluminium Coated Glass Epoxy Composites with SiC Micro-Filler</t>
  </si>
  <si>
    <t>Ravikiran , Ajay Anand , Sri Charan T V , Vedaprasad , Pradeep Kumar V G and Venugopal H S</t>
  </si>
  <si>
    <t>IoT Based Predictive Maintenance of Spur Gearbox</t>
  </si>
  <si>
    <t xml:space="preserve">Ravikiran, Yogesha K K , Akhil V M, Rakesh D, Rahul N Murthy, Dore Prasad </t>
  </si>
  <si>
    <t>Study of the Hole Behavior Properties of ITO/Mo/Vopc/Mo/Al Devices by Varying the Temperature and Thickness via Impedance Spectroscopy</t>
  </si>
  <si>
    <t>R. Madhusudhana, H. Guddappa, P. Roopadevi, P. Ramyad, S. Sachin, Ravikiran, and B. Sachin</t>
  </si>
  <si>
    <t>R. Madhusudhana</t>
  </si>
  <si>
    <t>INITIAL ESTIMATES OF BAZILEVIC TYPE FUNCTIONS DEFINED BY LIMACON-SHAPED DOMAIN</t>
  </si>
  <si>
    <t>Tejas N S, H Orhan, Raju D S, Magesh N</t>
  </si>
  <si>
    <t>MATHS</t>
  </si>
  <si>
    <t>H Orhan</t>
  </si>
  <si>
    <t>Contract Faculty</t>
  </si>
  <si>
    <t>Iranian Journal of Science</t>
  </si>
  <si>
    <t>A subclass of Bi-Bazilevic type functions associated with Generalized Laguerre polynomials</t>
  </si>
  <si>
    <t>N Magesh, Raju D S, Tejas N S</t>
  </si>
  <si>
    <t>Tejas N S</t>
  </si>
  <si>
    <t>Communications in Korean Mathematical Scoiety</t>
  </si>
  <si>
    <t>ESTIMATES OF THE INITIAL TAYLOR-MACLAURIN COEFFICIENTS OF A GENERAL SUBCLASS OF BI-BAZILEVIC TYPE FUNCTIONS</t>
  </si>
  <si>
    <t>General Mathematics</t>
  </si>
  <si>
    <t>A Generalized Subclass of Bi-bazilevic Functions Involving Gegenbauer Polynomials</t>
  </si>
  <si>
    <t>Yamini, Magesh N, Tejas N S, Raju D S</t>
  </si>
  <si>
    <t>Magesh N</t>
  </si>
  <si>
    <t xml:space="preserve">Journal of Applied Mathematics and Informatic
</t>
  </si>
  <si>
    <t>A Machine Learning based Frame work for Predicting Overall Equipment Effectiveness (OEE) with Environmental Factors in Additive Manufacturing</t>
  </si>
  <si>
    <t>Aruna Mokhamatam, K R Prakash, Sharmila B S, Divya HV</t>
  </si>
  <si>
    <t>Aruna Mokhamatam</t>
  </si>
  <si>
    <t>Design of Steel Foot Over Bridge – A Proposal</t>
  </si>
  <si>
    <t>Gagana P, Vasanth Keshav, Manoj H S</t>
  </si>
  <si>
    <t>Vasanth Keshav</t>
  </si>
  <si>
    <t>International Conference on Sustainable Infrastructure: Innovation, Opportunities and Challenges (SIIOC 2024)</t>
  </si>
  <si>
    <t>Wind and Seismic Response Analysis of Cable Stayed Bridge– A Case Study</t>
  </si>
  <si>
    <t>Effect of imperfection in non-linear static buckling of laminated composite hexagonal plate with incorporation of jute fibers</t>
  </si>
  <si>
    <t>Sathwik C R, Vasanth Keshav, Gouthamraj M R</t>
  </si>
  <si>
    <t>Effect of boundary conditions on Non-linear static buckling of laminated composite pentagonal plate made of aloe vera fibers</t>
  </si>
  <si>
    <t>Gouthamraj M R, Vasanth Keshav, Sathwik C R</t>
  </si>
  <si>
    <t>Effect of Radius of Curvature on Doubly Curved Cylindrical Shell made of Coir Fibers when subjected to in-plane loads</t>
  </si>
  <si>
    <t>Sathwik C R, Vasanth Keshav and GouthamRaj M R</t>
  </si>
  <si>
    <t>Effect of radius of curvature on the singly curved cylindrical shell made of coir fibers when subjected to in-plane loads</t>
  </si>
  <si>
    <t>Investigation on concrete filled square hollow sections subjected to static and dynamic loads</t>
  </si>
  <si>
    <t>Sagar S, Vasanth Keshav</t>
  </si>
  <si>
    <t>Effect of foundation type on the Seismic behaviour of Nuclear Reactor Building</t>
  </si>
  <si>
    <t>Gagana P, Manoj H S and Vasanth Keshav</t>
  </si>
  <si>
    <t>Gagana P</t>
  </si>
  <si>
    <t>Mechanical Properties of Laminated Composite Panel With 
 Natural Fibers</t>
  </si>
  <si>
    <t>Niveditha K., Sushmitha K., Pooja R.M., Rakshitha C. and Vasanth Keshav</t>
  </si>
  <si>
    <t>Enhancing Solar Radiation Forecasting using Machine Learning Algorithms</t>
  </si>
  <si>
    <t xml:space="preserve">Mahesh Kumar K M,Uppuluri Lakshmi Soundharya,Hemalatha R ,Anjanappa C,SUGANYA M J </t>
  </si>
  <si>
    <t>Anjanappa .C</t>
  </si>
  <si>
    <t>Unspecified</t>
  </si>
  <si>
    <t>Investigation of slurry erosion wear behaviors on coir filled polypropylene composites</t>
  </si>
  <si>
    <t>Santosh Kumar *, H. N. Divakar , C. M. Veerabhadraswamy, Nandini T S Ravikumar Beeranur ,H. S. Kumar ,Manjunath Yadav ,
Anil Kumar S Kallimani</t>
  </si>
  <si>
    <t>Santosh Kumar</t>
  </si>
  <si>
    <t>Revolutionizing Automobile Waste into Renewable Energy by Triboelectric Nanogenerators for Vehicle Safety</t>
  </si>
  <si>
    <t>Rumana Farheen Sagade Muktar Ahmed, Adarsh Raj Lingaraj, Divakar Holenarasipura Neelakantaiah, Sangamesha Madanahalli Ankanathappa, Krishnaveni Sannathammegowda</t>
  </si>
  <si>
    <t>Divakar Holenarasipura Neelakantaiah</t>
  </si>
  <si>
    <t>"The Effect of Ceramic Additives on the Mechanical Behavior of Carbon/Epoxy Composites"</t>
  </si>
  <si>
    <t>Sandeep.B
Dr.H. N. Divakar  Dr. Keerthiprasad K. S</t>
  </si>
  <si>
    <t>Sandeep.B (Manuscript id: 49021)</t>
  </si>
  <si>
    <t>Tribological Behaviour of Jute/Vinyl Ester Composites Impregnated with Alumina Filler.</t>
  </si>
  <si>
    <t>Prashanth, N.; Swamy, L. Ranganatha; Hemaraju; Kumar Santosh</t>
  </si>
  <si>
    <t>Effect of Ceramic Boron Carbide Particles Addition on the Mechanical and Microstructural Characteristics of Al7020 Alloy Composites</t>
  </si>
  <si>
    <t>Shrishail Basappa Angadi , Santosh Kumar , Madeva Nagaral  , Virupaxi Auardi , Balaraj Valukula</t>
  </si>
  <si>
    <t>Madeva Nagaral</t>
  </si>
  <si>
    <t>Enhancing Building Demolition Safety Code of Practice: Reconstructing the codal Provision of Demolition of Buildings</t>
  </si>
  <si>
    <t>Soumya B Gouda and Balaji N C</t>
  </si>
  <si>
    <t>Balaji N C</t>
  </si>
  <si>
    <t>Methodology for Shear and Flexural Strengthening of RC Beams with NSM Technique</t>
  </si>
  <si>
    <t>Fiza Naaz, Soumya B Gouda and Balaji N C</t>
  </si>
  <si>
    <t>Ensuring safety in construction of concrete frames: Reviewing the codal provisions for erection</t>
  </si>
  <si>
    <t>Fiza Naaz and Balaji N C</t>
  </si>
  <si>
    <t>Evaluating the structural behaviour and suitability of the surface repair material used for repairing concrete structural elements</t>
  </si>
  <si>
    <t>Kaveramma A. V. , Chandan K. R. , Dhananjay Murthy K. , Monglong Phom, Balaji N. C., and Gourav K.</t>
  </si>
  <si>
    <t>Assessing the quality of drinking water filtered through commercial filters and also designing suitable gravity water filters for residential usage</t>
  </si>
  <si>
    <t>Balaji. N. C. Kiran Kumar. S., Hemanth Urs. R., Mahendra. N. and Dhanush. L</t>
  </si>
  <si>
    <t>Experimental study on behavior of steel fiber reinforced concrete beams subjected to combined flexure, shear and torsion</t>
  </si>
  <si>
    <t>T H Sadashiva Murthy and N C Balaji, Manohar Y M, Mohammed Sakhib</t>
  </si>
  <si>
    <t>International Conference on Sustainable Technologies (ICST) – 2025</t>
  </si>
  <si>
    <t>Mixed</t>
  </si>
  <si>
    <t>Experimental Study on Behaviour of Steel Fibre Reinforced Concrete Beam with Partial Replacement of Cement by Flyash Subjected to Combined Flexure, Shear and Torsion</t>
  </si>
  <si>
    <t>T H Sadashiva Murthy and N C Balaji, Mohammed Sakhib, Manohar Y M</t>
  </si>
  <si>
    <t>SYNTHESIS OF ALKALI ACTIVATED ARTIFICIAL  AGGREGATE AND THEIR IMPACT STUDIES ON PERFORMANCE OF  CONCRETE</t>
  </si>
  <si>
    <t xml:space="preserve"> Basavana Gowda S N, Thanu H P, Sharan Kumar Goudar, Punith B Kotagi, Vinod N T</t>
  </si>
  <si>
    <t xml:space="preserve">Punith B Kotagi </t>
  </si>
  <si>
    <t>Advanced Predictive Approaches for Accident Forecasting to Enhance Road Safety</t>
  </si>
  <si>
    <t xml:space="preserve">Prasad Manoj, Punith B Kotagi,  Kerekoppa Chandrashekar Manjunath </t>
  </si>
  <si>
    <t>Robust Direction of Arrival Estimation using improved Coprime Array for Wireless Communication Applications</t>
  </si>
  <si>
    <t xml:space="preserve">Shashidhara K. S., K. N. Venu, I. G. Saritha, Raghu Jayaramu, Veerendra Dakulagi
</t>
  </si>
  <si>
    <t>Shashidhara K. S</t>
  </si>
  <si>
    <t xml:space="preserve"> Comprehensive Track Unswapping for Improved Tracker Performance</t>
  </si>
  <si>
    <t>J. Raghu, T. L. Purushottama, B Pardhasaradhi, P. Srihari, R. Tharmarasa and T.
Kirubarajan,</t>
  </si>
  <si>
    <t>Raghu J</t>
  </si>
  <si>
    <t>Expeimental Investigations on the Mechanical Behaviour of basaltfabric reinforced epoxycomposites</t>
  </si>
  <si>
    <t>Kiran R, Prakash.K.R,Suresha Bheemappa</t>
  </si>
  <si>
    <t>Kiran.R</t>
  </si>
  <si>
    <t>Interpretable machine learning model for temperature prediction in coal pulverizes of thermal power plants in International Journal of Coal Preparation and
 Utilization</t>
  </si>
  <si>
    <t xml:space="preserve"> Pullanikkattil, Suhailam, Yerolla Raju and Besta, Chandra Shekar</t>
  </si>
  <si>
    <t>Chadra Shekar Besta</t>
  </si>
  <si>
    <t>Enhancing Stability in Cascade Processes through Particle Swarm Optimization and Internal Model Controller</t>
  </si>
  <si>
    <t xml:space="preserve"> Yerolla Raju,  Pullanikkattil Suhailam, Besta Chandra Shekar</t>
  </si>
  <si>
    <t>Raju Yerolla</t>
  </si>
  <si>
    <t>An Experimental Data-Driven Mathematical Model and Machine Learning Approach For Damage Detection in Spur Gears</t>
  </si>
  <si>
    <t>Imran M Jamadar, Nihan Pasha K M, Prasanta Kumar Samal, Nithin M</t>
  </si>
  <si>
    <t>Machine learning Analysis of Poorly conducting homogeneous fluid in electro maganetic field</t>
  </si>
  <si>
    <t xml:space="preserve">Shubha Nagaraj </t>
  </si>
  <si>
    <t>Harsha S</t>
  </si>
  <si>
    <t>Multi Robot Approaches  for Sustainable Inspection and Maintenance :Afocus on Occupancy Map Merging</t>
  </si>
  <si>
    <t>Arpitha Shankar, Prakash K.R.</t>
  </si>
  <si>
    <t>Arpitha Shankar</t>
  </si>
  <si>
    <t>Experiential Learning in Engineering Education for Bridging the gap between Academia and Industry</t>
  </si>
  <si>
    <t>Remya Jayachandran, Salila Hedge</t>
  </si>
  <si>
    <t>Remya Jayachandran</t>
  </si>
  <si>
    <t>JEET - Journal of Engineering Education and Transformation</t>
  </si>
  <si>
    <t>CMOS-Based Memristor Emulator Circuit for Audio Signal Processing in Hearing Aid Applications</t>
  </si>
  <si>
    <t>Remya Jayachandran, Sudeep kumar, Sanjay H, Varshini H R, Prekshadeep S P, Sangeetha A Shayana</t>
  </si>
  <si>
    <t>IEEE EDKCON 2025</t>
  </si>
  <si>
    <t>https://doi.org/10.1109/DevIC63749.2025.11012243</t>
  </si>
  <si>
    <t>SQ-3DP: A Novel Dataset for machine learning Optimization in Additive Manufacturing</t>
  </si>
  <si>
    <t>Aruna Mokhamatam, K R Prakash, Sharmila B S</t>
  </si>
  <si>
    <t>SUSTAINABLE AUTOMATED PLASTIC WASTE SEGREGATION SYSTEM USING IOT AND IMAGE PROCESSING FOR MATERIAL RECOVERY CENTERS</t>
  </si>
  <si>
    <t>Remya Jayachandran, Nidhishree, Anush R Halappanavar, Laxman K Budni, Abhishesk C M, Charan S Hegde, and Rupesh S</t>
  </si>
  <si>
    <t>ICST 2025</t>
  </si>
  <si>
    <t>Transforming Healthcare through Smart Health Systems: Harnessing Technology for Enhanced Patient Care</t>
  </si>
  <si>
    <t>Remya Jayachandran, Bhargava Dantapur, Aneeta S Antony, Rohini Nagapadma</t>
  </si>
  <si>
    <t>Transforming Healthcare Sector Through Artificial Intelligence and Environmental Sustainability</t>
  </si>
  <si>
    <t>https://scholar.google.com/scholar?oi=bibs&amp;cluster=4618592191113981194&amp;btnI=1&amp;hl=en</t>
  </si>
  <si>
    <t>DESIGN OF ADVANCED MOSFET ARCHITECTURES</t>
  </si>
  <si>
    <t>Remya Jayachandran, Salila Hegde</t>
  </si>
  <si>
    <t>Micro and Nano Semiconductor Devices for Digital, Analog and Sensor Design</t>
  </si>
  <si>
    <t>https://doi.org/10.1002/9781394307340.ch1</t>
  </si>
  <si>
    <t xml:space="preserve">EXPLORING THE SYNERGY OF ARTIFICIAL INTELLIGENCE AND INTERNET OF THINGS (AIOT) IN SMART HEALTHCARE AND SMART CITIES FOR ENHANCED CONNECTIVITY AND EFFICIENCY </t>
  </si>
  <si>
    <t>Remya Jayachandran, Annangi Saikiran Babu, Aniruddh Adiga, Rupesh S, Edet Bijoy Kumaradhas</t>
  </si>
  <si>
    <t>Fundamentals of Hydrogen Energy</t>
  </si>
  <si>
    <t>Rupesh S, Deepanraj Balakrishnan, Aravind L, Remya Jayachandran</t>
  </si>
  <si>
    <t>Fuelling the Future</t>
  </si>
  <si>
    <t>https://doi.org/10.1016/B978-0-443-34090-1.00007-5</t>
  </si>
  <si>
    <t>Spiking neuron cell using FinFET based OTA memristor emulator for Area Efficient Non-uniform Filter Bank in Hearing Aid Applications</t>
  </si>
  <si>
    <t>Remya Jayachandran, Shaeen K, Veena M K</t>
  </si>
  <si>
    <t>FPGA-Based I2C Master Controller for Real-Time Temperature Monitoring in Neonatal Radiant Warmers</t>
  </si>
  <si>
    <t>Vinay G, Sahana, Remya Jayachandran</t>
  </si>
  <si>
    <t>Steel fibre reinforced concrete (SFRC) under repeated slow cyclic loading in tension - Experimental and Theoretical Studies</t>
  </si>
  <si>
    <t>Jayanth K, Suresh G S</t>
  </si>
  <si>
    <t>Jayanth K</t>
  </si>
  <si>
    <t>Steel fibre reinforced concrete (SFRC) under repeated slow cyclic loading in flexure - Experimental and Finite element Studies</t>
  </si>
  <si>
    <t>Steel fibre reinforced concrete (SFRC) under repeated slow cyclic loading in compression - Experimental and Theoretical Studies</t>
  </si>
  <si>
    <t>The study of the role of non-covalent interactions (C-H⋯N, CH⋯π, C-O⋯C-O, and π⋯π) towards crystal packing of benzyl 4-(4-flurophenyl)thiazole-2-carboxylate: A combined experimental and computational approach</t>
  </si>
  <si>
    <t xml:space="preserve">Doreswamy S., Santhosh C., Lohith T. N., Neetha S., Sharath K., Sridhar M.A., Sadashiva M. P </t>
  </si>
  <si>
    <t>Sulfur-Controlled Modulation of Peptoid Atropisomeric Foldamers</t>
  </si>
  <si>
    <t>Nithin Kumar M. R., Bishwajit Paul, Lohith T.N., Sandeep Badduna, Nagesh Kumar Kandukuri</t>
  </si>
  <si>
    <t>Bishwajit Paul</t>
  </si>
  <si>
    <t>Gamma ray interaction study of Eco-Friendly, light-weight PVA Composites with Waste Building Material as fillers</t>
  </si>
  <si>
    <t>Ashwitha Chikkegowda1, Lingaraj Adarsh Raj1, Narayan Vaishnavi1, Sankarshan Belur Mohan2*,</t>
  </si>
  <si>
    <t>S Krishnaveni</t>
  </si>
  <si>
    <t>Impact of the quality of humanure in fostering the growth and vitality of plants with ramifications on human health</t>
  </si>
  <si>
    <t xml:space="preserve">SriRashmi S, Sridhara , K S Lokesh </t>
  </si>
  <si>
    <t>SriRashmi S</t>
  </si>
  <si>
    <t>Rejected</t>
  </si>
  <si>
    <t>A STUDY ON LANSLIDE PRONE AREAS IN EASTERN GHATSAND ANALYSIS OF RISK USING BOWTIE TECHNIQUE.</t>
  </si>
  <si>
    <t>SriRashmi S, Kiran S , TARANNUM</t>
  </si>
  <si>
    <t>Kiran S</t>
  </si>
  <si>
    <t xml:space="preserve">Presented </t>
  </si>
  <si>
    <t>19/7/2025</t>
  </si>
  <si>
    <t>Hardware Design and Prototype Implementation to
Realize Charging and Discharging Profile of Cells
for E-Vehicles</t>
  </si>
  <si>
    <t>Nitesh K A and Dr. Ravichandra</t>
  </si>
  <si>
    <t>Nitesh K A</t>
  </si>
  <si>
    <t>Estimation of State of Power for Lithium Ion Batteries Based Upon State of Charge and
Incremental Open Circuit Voltage using Machine Learning</t>
  </si>
  <si>
    <t>Dual Active Bridge Converter for Electric Vehicle Battery Charging</t>
  </si>
  <si>
    <t>Jayasankar V N, S R Gurumurthy, Prarthana Kashyap H G, Prerana S, Suhas R 
and Tejaswini G C</t>
  </si>
  <si>
    <t>V N Jayasankar</t>
  </si>
  <si>
    <t xml:space="preserve">Implementation of Memristor Crossbar SNN Array </t>
  </si>
  <si>
    <t>Shashank S, Deepthi M S, Shashidhara H R∗, Sucheth R Rao, Puneeth Kumar R, and Tanmayee Yathish</t>
  </si>
  <si>
    <t>Shashidhara H R</t>
  </si>
  <si>
    <t>Energy efficient 2x2 crossbar array-based spike neural network</t>
  </si>
  <si>
    <t>Deepthi M S, Shashidhara H R</t>
  </si>
  <si>
    <t>Synthesis, crystal structure, Hirshfeld surface analysis, DFT calculations, molecular docking, MD simulations, ADMET and anti-breast cancer assessment of new 2-Phenyl indole incorporated 1,2,4-oxadiazole derivatives</t>
  </si>
  <si>
    <t>Rajesh Kancherla, Shekhar Reddy Mulka, Lohith T. N., Anindita B, Nagarajaiah H, Santosh S Chhajed, Madhusudana Reddy MB</t>
  </si>
  <si>
    <t>Madhusudhana Reddy</t>
  </si>
  <si>
    <t>UVB protective polyvinyl alcohol/ZnCeO3 nanocomposite Films: Blue luminescent UV leakage detectors</t>
  </si>
  <si>
    <r>
      <rPr>
        <rFont val="Arial"/>
        <color theme="1"/>
        <sz val="9.0"/>
      </rPr>
      <t xml:space="preserve">S. Sachhidananda, K.S. Nithin, H.B.Vasanth Patil, B.M. Jagajeevan Raj, T.E. Somesh, </t>
    </r>
    <r>
      <rPr>
        <rFont val="Arial"/>
        <b/>
        <color theme="1"/>
        <sz val="9.0"/>
      </rPr>
      <t>G.S. Nanjundaswamy</t>
    </r>
    <r>
      <rPr>
        <rFont val="Arial"/>
        <color theme="1"/>
        <sz val="9.0"/>
      </rPr>
      <t>, S. Roopa</t>
    </r>
  </si>
  <si>
    <t>CHEM</t>
  </si>
  <si>
    <t>K.S. Nithin</t>
  </si>
  <si>
    <t>European Polymer Journal</t>
  </si>
  <si>
    <t>https://doi.org/10.1016/j.eurpolymj.2025.113809</t>
  </si>
  <si>
    <t>High Refractive Index Metal Oxide-Reinforced Water-Soluble Polymer Nanocomposite for Visible Light Enhancement</t>
  </si>
  <si>
    <r>
      <rPr>
        <rFont val="Arial"/>
        <color theme="1"/>
        <sz val="9.0"/>
      </rPr>
      <t>Mahadeva Prasad.P., Nithin.K.S., Sachhidananda.S., </t>
    </r>
    <r>
      <rPr>
        <rFont val="Arial"/>
        <b/>
        <color theme="1"/>
        <sz val="9.0"/>
      </rPr>
      <t>Nanjundaswamy.G.S.,</t>
    </r>
    <r>
      <rPr>
        <rFont val="Arial"/>
        <color theme="1"/>
        <sz val="9.0"/>
      </rPr>
      <t> Madhukar.B.S., Chitra S.G., R Gopalakrishne Urs </t>
    </r>
  </si>
  <si>
    <t>Nanjundaswamy.G.S.</t>
  </si>
  <si>
    <t>Materials Science in Semiconductor Processing</t>
  </si>
  <si>
    <r>
      <rPr>
        <rFont val="Arial"/>
        <color rgb="FF1155CC"/>
        <sz val="9.0"/>
        <u/>
      </rPr>
      <t>https://doi.org/10.1016/j.mssp.2025.109484</t>
    </r>
    <r>
      <rPr>
        <rFont val="Arial"/>
        <sz val="9.0"/>
      </rPr>
      <t xml:space="preserve"> </t>
    </r>
  </si>
  <si>
    <t>Optimizing ECG Signal Acquisition  Design and simulation of a LNA</t>
  </si>
  <si>
    <t>Anjanappa.C, Rohini M,Bhuvana R S,Bhavani B N</t>
  </si>
  <si>
    <t>Anjanappa C</t>
  </si>
  <si>
    <t>Draft / Work in Progress</t>
  </si>
  <si>
    <t>An on-chip calibration technique for Comparators with non-zero threshold voltage</t>
  </si>
  <si>
    <t>Yajunath K, Ranjan Kumar Mahapatra</t>
  </si>
  <si>
    <t>Yajunath K</t>
  </si>
  <si>
    <t>Implementing ECC within IPsec for Sustainable Security in Dynamic Ad-hoc Networks</t>
  </si>
  <si>
    <t>Vaishali Shenoy B, Nithya K B, Suchithra T M and Vijay B T</t>
  </si>
  <si>
    <t>Vijay B T</t>
  </si>
  <si>
    <t>Polycystic Ovary Syndrome Detection Using Contextual Ensemble Network and ELMAN Neural Network with Green Anaconda Optimisation</t>
  </si>
  <si>
    <t>Rakesh Kalshetty, N. Vedavathi, M. Narender, C. I. Johnpaul, and Tojo Mathew</t>
  </si>
  <si>
    <t>CSE</t>
  </si>
  <si>
    <t>North</t>
  </si>
  <si>
    <t>Rakesh Kalshetty</t>
  </si>
  <si>
    <t>Advanced Fraud Detection Systems using Optimized Volumetric Memory Network in Credit Card Security</t>
  </si>
  <si>
    <t>Shashank D, Narender M, Ananth G S, Jayasri B S</t>
  </si>
  <si>
    <t>Narender M</t>
  </si>
  <si>
    <t>Enhanced Cyberbullying detection using Hybrid deep Learning  and context-Aware BERT features</t>
  </si>
  <si>
    <t>Suhas Bharadwaj R, Dr. S Kuzhalvaimozhi, Vedavathi N</t>
  </si>
  <si>
    <t>ISE</t>
  </si>
  <si>
    <t>Suhas Bharadwaj R</t>
  </si>
  <si>
    <t>Multi-modal Cyberbullying Detection using stable attention aided transformer neural network</t>
  </si>
  <si>
    <t>Suhas Bharadwaj R, Dr. S Kuzhalvaimozhi</t>
  </si>
  <si>
    <t>Advancing Road Safety: A YOLOV8-Based Approach to Automated Traffic
Violation Detection and Enforcement</t>
  </si>
  <si>
    <t>Nandini B M, Sharmila B S, Kavitha S S, Akshya Reddy</t>
  </si>
  <si>
    <t>Nandini B M</t>
  </si>
  <si>
    <t>Synchronized Transform-Aggregate Model for Big Data Analytics towards in Distributed Cloud Ecosystem</t>
  </si>
  <si>
    <t>Rajeshwari Dembala, Kavya Ananthapadmanabha, Shashank Dhananjaya3</t>
  </si>
  <si>
    <t>Rajeshwari Dembala</t>
  </si>
  <si>
    <t>Quantum Shor's algorithm v/s classical General Number Field Sieve (GNFS) approach for large integer factorization</t>
  </si>
  <si>
    <t>Kavitha S S, Nandini B M, Sharmila B S</t>
  </si>
  <si>
    <t>Kavitha S S</t>
  </si>
  <si>
    <t>Multi modal approach for brain tumor image classification using ensemble of SVM with LSTM and VGG19</t>
  </si>
  <si>
    <t>Mahesh T.R, Rajeshwari D, Raghu N</t>
  </si>
  <si>
    <t>Mahesh TR</t>
  </si>
  <si>
    <t xml:space="preserve">Enhanced Sarcasm Detection using Grey Wolf Optimizer with Deep Learning on Social Media 2024 Second International Conference on Intelligent Cyber Physical Systems and Internet of Things (ICoICI) </t>
  </si>
  <si>
    <t>M. Manimaraboopathy; Rajeshwari D; R. Rathiya; C B Selva Lakshmi; V. Lathajothi; Sangeethaa SN</t>
  </si>
  <si>
    <t>M. Manimaraboopathy</t>
  </si>
  <si>
    <t xml:space="preserve">Automatic Coloring Algorithm for Hand-drawn illustrations based on human vision model </t>
  </si>
  <si>
    <t>Raghu N, Rajeshwari D</t>
  </si>
  <si>
    <t>Raghu N</t>
  </si>
  <si>
    <t>AI infused Secure biometric authentication for remote patient monitoring systems</t>
  </si>
  <si>
    <t>Rajeshwari D, Manasa KB, Shruthi BS, Shashank Dhananjaya,Chaya P</t>
  </si>
  <si>
    <t>Rajeshwari D</t>
  </si>
  <si>
    <t>Denigration Analysis of Twitter Data using Cyclic Learning Rate based Long Short-Term Memory</t>
  </si>
  <si>
    <t>Suhas Bharadwaj R, S. Kuzhalvaimozhi, Vedavathi.N</t>
  </si>
  <si>
    <t>International Journal of Electrical and Computer Engineering</t>
  </si>
  <si>
    <t>http://doi.org/10.11591/ijece.v15i1.pp700-710</t>
  </si>
  <si>
    <t>Application Scenarios of Recommender System in Healthcare</t>
  </si>
  <si>
    <t>Shruthi B S, Manasa K B, Sudeep J</t>
  </si>
  <si>
    <t>Manasa K B</t>
  </si>
  <si>
    <t xml:space="preserve">A Systematic Review to predict and improve the efficiency of prenatal and postnatal care through machine learning models. </t>
  </si>
  <si>
    <t>Manasa K B, Dr. Mohammad Muddasir</t>
  </si>
  <si>
    <t>Review Article</t>
  </si>
  <si>
    <t>A Comprehensive Review to analyze and improve prenatal care in underserved areas.</t>
  </si>
  <si>
    <t>Shruthi B S, Dr. Prashanth M V</t>
  </si>
  <si>
    <t>Shruthi B S</t>
  </si>
  <si>
    <t>NFT Marketplace for Exchange of Digital Artifacts using Smart Contracts</t>
  </si>
  <si>
    <t>Dr.Jayasri B.S,Balaji V,Praveen Narayan Bhat,Rothesay Deepak Pai,Sanjana Ananthu,Shreehari H.P</t>
  </si>
  <si>
    <t>Dr.Jayasri B.S</t>
  </si>
  <si>
    <t>13/4/2025</t>
  </si>
  <si>
    <t>21/1/2026</t>
  </si>
  <si>
    <t>Advances in Data Science and Artificial Intelligence: Proceedings of ERCICA. Lecture Notes in Electrical Engineering (1399)</t>
  </si>
  <si>
    <t>https://doi.org/10.1007/978-981-96-4430-8_10</t>
  </si>
  <si>
    <t>UG Only</t>
  </si>
  <si>
    <t>Multi-Facial Recognition using Multitask Cascaded Convolutional Neural Networks</t>
  </si>
  <si>
    <t>Dr.Jayasri B.S,Harshit Joshi,Prateek Kumar Choubey,Ritesh Bagath's,Sarthak Kumar Singh</t>
  </si>
  <si>
    <t>15/4/2025</t>
  </si>
  <si>
    <t>Harnessing Blockchain to Fortify Military Cyber Security in the Era Of AI</t>
  </si>
  <si>
    <t>Harshitha K.S, Rajeshwari D, Prasanna Kumar G</t>
  </si>
  <si>
    <t>Harshitha K.S</t>
  </si>
  <si>
    <t>The Security of IoT and the function of AI/ML in Allevating new cyber threats within cloud computing Environments</t>
  </si>
  <si>
    <t>Kannada Handwritten Digits Recognition using Deep Learning</t>
  </si>
  <si>
    <t>Dr. Jayasri B.S,Anagha Mohan,Ananya B.S,Aditi V Pongal,Gowri V</t>
  </si>
  <si>
    <t>Medi-Assist Multilingual Healthcare AI-based Doctor recommender System for Sustainability</t>
  </si>
  <si>
    <t>Jayasri B.S,Amogh P Phatarpekar,Gagan Kumar D,D M Tarun raj,Nagaraj M.B</t>
  </si>
  <si>
    <t>Dr. Jayasri B.S</t>
  </si>
  <si>
    <t xml:space="preserve">Preclinical Cardiovascular Risk in Smokers using Machine Learning
</t>
  </si>
  <si>
    <t>Prajakta, Rampur Srinath, B N Kiran</t>
  </si>
  <si>
    <t>Prajakta</t>
  </si>
  <si>
    <t xml:space="preserve">Machine Learning-Based Biomarker Discovery for Early Detection of Blood Pressure Disorders
</t>
  </si>
  <si>
    <t>Rampur Srinath, Prajakta,  B N Kiran</t>
  </si>
  <si>
    <t>Rampur Srinath</t>
  </si>
  <si>
    <t xml:space="preserve">Machine Learning Identifies Hepatic CB1R as a Transgenerational Biomarker of Paternal Diet-Induced Glucose Dysregulation
</t>
  </si>
  <si>
    <t>B N Kiran, Prajakta, Rampur Srinath</t>
  </si>
  <si>
    <t>B N Kiran</t>
  </si>
  <si>
    <t>Soccer Player Analysis using ML</t>
  </si>
  <si>
    <t>Rampur Srinath, Arun Biradar</t>
  </si>
  <si>
    <t>Soccer Team Using ML</t>
  </si>
  <si>
    <t>Sleep Disorder Prediction using Machine Learning</t>
  </si>
  <si>
    <t>Bhat Geetalaxmi Jairam, Sahana K. J</t>
  </si>
  <si>
    <t xml:space="preserve">Bhat Geetalaxmi Jairam, </t>
  </si>
  <si>
    <t>Face-to-Tune: Music Suggestions from Facial Cues</t>
  </si>
  <si>
    <t xml:space="preserve">Bhat Geetalaxmi Jairam
Chitra Hegd, Deepashree M P,Geetha B,Harshitha B
</t>
  </si>
  <si>
    <t xml:space="preserve">
Sensor based Framework for Soil Nutrients Prediction using Deep Learning Techniques.
</t>
  </si>
  <si>
    <t xml:space="preserve">G. N. Shwetha 
Dr. Bhat Geetalaxmi Jairam 
</t>
  </si>
  <si>
    <t>Dr. Bhat Geetalaxmi Jairam</t>
  </si>
  <si>
    <t>Predictive Modeling for Crop Suitability and Productivity Using Machine Learning Techniques</t>
  </si>
  <si>
    <t xml:space="preserve">
Dr. Bhat Geetalaxmi Jairam </t>
  </si>
  <si>
    <t>A Fuzzy-Logic based context adaptive preprocessing and ensemble Learning approachto COVID-19 Predection using cest-X-rays</t>
  </si>
  <si>
    <t>Girish S.C,Jayasri B.S</t>
  </si>
  <si>
    <t>16/2/2026</t>
  </si>
  <si>
    <t>Improving  COVID-19 chest  X-ray classification via attention - based learning and fuzzy-augmented data diversity</t>
  </si>
  <si>
    <t>lletin of Electrical Engineering and Informatics</t>
  </si>
  <si>
    <t xml:space="preserve"> 10.11591/eei.v14i5.10861 </t>
  </si>
  <si>
    <t>PhD Only</t>
  </si>
  <si>
    <t>Effecient Convolutional neural network with attention regularization dual-gradient optimization for covid 19 detection on chest X-rays</t>
  </si>
  <si>
    <t>Dr. jayasri b.s</t>
  </si>
  <si>
    <t>Sudeep J</t>
  </si>
  <si>
    <t>Blockchain for military applications: Opportunities, challenges, and its applications</t>
  </si>
  <si>
    <t>Sudeep J, Dr Shivashankara S, Dr Ananth G S, Girish S C, Dr Hong Lin</t>
  </si>
  <si>
    <t xml:space="preserve">Introduction to Smart Cities and AI </t>
  </si>
  <si>
    <t xml:space="preserve">Sudeep J, Dr Shivashankara S, Dr Pavithra D R, Ananth G S, Dr Deepak Jain </t>
  </si>
  <si>
    <t>Advancements in Climate Modeling and Prediction through Machine Learning Techniques</t>
  </si>
  <si>
    <t>Sudeep J, Dr Ramkrishna Hegde, Dr S M Soumyashree, Dr Shivashankar, Dr M Natesh,  G Deepu</t>
  </si>
  <si>
    <t>Dr Ramakrishna Hegde</t>
  </si>
  <si>
    <t>An exploratory study on detection on cyberbullying</t>
  </si>
  <si>
    <t>Sudeep J, Dr Shivashankar S</t>
  </si>
  <si>
    <t>Machine_Learning_based_anomaly_detection_for_IoT_Network</t>
  </si>
  <si>
    <t>PrathibhaBS, Dr. K Raghuveer</t>
  </si>
  <si>
    <t>Prathibha.B.S.</t>
  </si>
  <si>
    <t>ML Tool to Identify the Correlation between Student Mental Factors and their Performances</t>
  </si>
  <si>
    <t>Supriya S, S.Kuzhalvaimozhi</t>
  </si>
  <si>
    <t>Supriya</t>
  </si>
  <si>
    <t>A hybrid approach for hotspot problem using load balancing and advanced ant colony algorithm</t>
  </si>
  <si>
    <t>Padmini.M.S, S.Kuzhalvaimozhi</t>
  </si>
  <si>
    <t>Padmini .M.S</t>
  </si>
  <si>
    <t>A Data-Driven Approach to Predicting Breast Cancer Recurrence with Hybrid Machine Learning Models</t>
  </si>
  <si>
    <t>Dr. Deepa, Dr. Velumurugan, Dr. Narender, Dr. Suhaas K P</t>
  </si>
  <si>
    <t>Dr. Deepa</t>
  </si>
  <si>
    <t>Enhanced Fault Detection in MOSFETs through Integrated Thermal and X-Ray Imaging with Advanced Segmentation Techniques</t>
  </si>
  <si>
    <t>Dr. Anushree, Dr. Ravi, Dr. Muruganathan, Dr. Suhaas</t>
  </si>
  <si>
    <t>Dr. Anushree</t>
  </si>
  <si>
    <t>Optimization of Removal of Pharmaceuticals from Water using Graphene Nanoplatelets</t>
  </si>
  <si>
    <t>Subiksha Chandrasekar, Dr.Annapurna V.K</t>
  </si>
  <si>
    <t>Dr. Annapurna v.K</t>
  </si>
  <si>
    <t>presented</t>
  </si>
  <si>
    <t>Daiquiri: A Framework for GO</t>
  </si>
  <si>
    <t>Harshit
Srivastava, Harshal
Srivastava, Dr. Annapurna V K,Harshita
Bisht, Arya Arun
Bhosale</t>
  </si>
  <si>
    <t>Arya Arun bhosale</t>
  </si>
  <si>
    <t>Deep Learning Powered UAV surveillance for automated pest control in smart farms</t>
  </si>
  <si>
    <t>Vinay Bharadwaja, Spoorthi B N, Padma M T</t>
  </si>
  <si>
    <t xml:space="preserve">Vinay Bharadwaja </t>
  </si>
  <si>
    <t>Password Cracking with the Power of LLM : A Machine Learning Approach</t>
  </si>
  <si>
    <t>Lammiya Huda, Manasa U,Shalparni PY,Meghana N R</t>
  </si>
  <si>
    <t>Manasa U</t>
  </si>
  <si>
    <t>Aris Voice Assistant: A Desktop Voice Assistant For Seamless User Interaction</t>
  </si>
  <si>
    <t>Dr.Rekha.K.S, Ashrith Vasist,Avikumar,Naveen Kumar,Niharika Dev</t>
  </si>
  <si>
    <t>Dr.Rekha.K.S</t>
  </si>
  <si>
    <t>Data Deduplication System Using Machine Learning</t>
  </si>
  <si>
    <t xml:space="preserve">Dr.Rekha.K.S.,Prithviraj Sai Niranjan  </t>
  </si>
  <si>
    <t>Dr.Rekha.K.S.</t>
  </si>
  <si>
    <t>An approach to develop a Kannada POS Tagger using python and relevant libraries</t>
  </si>
  <si>
    <t>Nandini P,Dr.Bhat Geetalaxmi Jairam</t>
  </si>
  <si>
    <t>Nandini P</t>
  </si>
  <si>
    <t>Project Pulse: A Scalable, Secure, and Smart Project Management Platform on AWS</t>
  </si>
  <si>
    <t>Dr.Rekha.K.S, Nithya  M R,Antriksh Narang</t>
  </si>
  <si>
    <t>Performance and security assessment of custom HTTP packet sniffing tools with Integrated Intrusion Detection</t>
  </si>
  <si>
    <t>Lammiya Huda,Dr.Anand srivatsa,Dr.Rajalekshmi kishore</t>
  </si>
  <si>
    <t>Lammiya Huda</t>
  </si>
  <si>
    <t>Development of Deep learning framework for Software Bug report Detection and Classification</t>
  </si>
  <si>
    <t>G B Janardhana Swamy, Dr. Shivanna K</t>
  </si>
  <si>
    <t>G B Janardhana Swamy</t>
  </si>
  <si>
    <t>Plant Disease Prediction using Machine Learning</t>
  </si>
  <si>
    <t>Rashmi M R,Dr B R Vatsala,Sachin B S,Sachin R,krushik Gowda</t>
  </si>
  <si>
    <t>Rashmi M R</t>
  </si>
  <si>
    <t>Face Based gender Detection using CNN</t>
  </si>
  <si>
    <t>Meghana NR,Manasa U,Shalparni P Y,Spoorthi B N</t>
  </si>
  <si>
    <t>Meghana NR</t>
  </si>
  <si>
    <t>Fake News Detection using Machine Learning</t>
  </si>
  <si>
    <t>Rashmi M R,Keerthika Singh,Alok Kumar</t>
  </si>
  <si>
    <t>Heart Murmur Detection System using Machine Learning</t>
  </si>
  <si>
    <t>Dr. B R Vatsala,Dr.Vidya Raj C,Rashmi M R,Sneha N ,Sahana Swamy K P,Poojitha R C</t>
  </si>
  <si>
    <t>Dr.B R Vatsala</t>
  </si>
  <si>
    <t>Sustainable Lifestyle  Recommendation System using Machine Learning</t>
  </si>
  <si>
    <t>Rahul,Harsha V,Kiran Gagan Chari,Dr.Vidya Raj C,Dr.B R Vatsala</t>
  </si>
  <si>
    <t>Dr.Vidya Raj C</t>
  </si>
  <si>
    <t>Solving the Cold Start Problem in Social IoT</t>
  </si>
  <si>
    <t>Rashmi M R,Dr Vidya Raj C,Dr B R Vatsala</t>
  </si>
  <si>
    <t>Comparative Study of Machine Learning, Deep Learning and Artificial Intelligence Algorithm Used for the Breast Cancer Prognosis</t>
  </si>
  <si>
    <t>Priyanka R V, Dr.Shabana Sultana</t>
  </si>
  <si>
    <t>Priyanka R V</t>
  </si>
  <si>
    <t>Enhancing OLSR Resilience: A Framework for Adversary Detection and Response in Mobile Ad Hoc Networks</t>
  </si>
  <si>
    <t>Dr.C.K.Vanamala</t>
  </si>
  <si>
    <t>Optimizing Secure Routing Decisions in OLSR: A Performance Analysis</t>
  </si>
  <si>
    <t>A MACHINE LEARNING APPROACH TO PREDICT AND EVALUATE THE HUMAN IMMUNE SYSTEM RESPONSE TO INTRUSIONWITH B â€“CELL EPITOPES AS PROTEIN-PROTEIN INTERACTION</t>
  </si>
  <si>
    <t>Pradeep kumar H S , Dr. Harsha S</t>
  </si>
  <si>
    <t>Pradeep Kumar H S</t>
  </si>
  <si>
    <t>Landslide Detection from Aerial Satellite Images using Dual-encoder Pix2Pix</t>
  </si>
  <si>
    <t>Vedavathi N, Narender M, Suhas Bharadwaj R, Johnpaul C I, Niyas S, Tojo Mathew</t>
  </si>
  <si>
    <t>Niyas S</t>
  </si>
  <si>
    <t>Gluten identification from food images using advanced deep learning and transfer learning methods</t>
  </si>
  <si>
    <t>M Tapkire, V Arun, MS Lavanya, R Shashidhar</t>
  </si>
  <si>
    <t>Mayura Tapkire</t>
  </si>
  <si>
    <t>02/02/0204</t>
  </si>
  <si>
    <t>31-12-2024</t>
  </si>
  <si>
    <t>"A study on Exploring Blockchain  solutions for Enhancing IOT security"</t>
  </si>
  <si>
    <t>Dr.Nandini M S,Ms. Shruthi S</t>
  </si>
  <si>
    <t>Ms.Shruthi S</t>
  </si>
  <si>
    <t>Digital Twins for Brain Tumor Detection using MRI Images by Deep Learning</t>
  </si>
  <si>
    <t>Chinnaswamy C N</t>
  </si>
  <si>
    <t>Karthika terala</t>
  </si>
  <si>
    <t>Enhanced Task Scheduling Algorithm using Harris Hawks Optimization Algorithm for Cloud Computing</t>
  </si>
  <si>
    <t>Padmini.M.S</t>
  </si>
  <si>
    <t>Multi-Agent Heuristic and Knowledge-Driven Routing Optimization Model for Internet of Things Applications</t>
  </si>
  <si>
    <t>G B Janardhana Swamy, Shivanna K</t>
  </si>
  <si>
    <t>Efficient Classification of Bugs using Deep learning</t>
  </si>
  <si>
    <t>AI Resume Analyzer</t>
  </si>
  <si>
    <t>G B Janardhana Swamy,Suchitha, Archana, Pallavai &amp; Pravallika</t>
  </si>
  <si>
    <t>Suchitha</t>
  </si>
  <si>
    <t>CampusMate: Reimagining College Guidance</t>
  </si>
  <si>
    <t>Dr. Bhat Geetalaxmi Jairam1 Nithish Kumar J2 Olen Dale Pinto3 Rachana R4  Rajat Giridhar Ghanate5</t>
  </si>
  <si>
    <t>COLLEGE PLACEMENT PORTAL</t>
  </si>
  <si>
    <t>Dr. Bhat Geetalaxmi Jairam1, Ankit Gupta2, Aman Singh3 and Aryan4</t>
  </si>
  <si>
    <t>Fostering STEM Careers for Women: A Project-Based Learning Initiative in Engineering Education</t>
  </si>
  <si>
    <t>Vidya N L, Gowtham N, Shobha Shankar,Savyasachi G K</t>
  </si>
  <si>
    <t>Vidya N L</t>
  </si>
  <si>
    <t>Review on Smart Harvest: Unleashing AI and ML techniques for Disease Identification in Agricultural Plantations</t>
  </si>
  <si>
    <t>Vidya N L, Dr. Anitha R,  Naveen S Pagad, Mohammed Uzair F</t>
  </si>
  <si>
    <t>Classification and Conversion of 2- Dimensional Image to 3-Dimensional Image (X_x0002_ray, MRI, CT images) Using AI and Deep Learning Techniques</t>
  </si>
  <si>
    <t>Nithya M R,Chaithra M,Veena Mohan M</t>
  </si>
  <si>
    <t>Nithya M R</t>
  </si>
  <si>
    <t>Innovations in Image Processing Challenges and Future Direction</t>
  </si>
  <si>
    <t>Nithya M R,</t>
  </si>
  <si>
    <t>Image Processing and AI Vision  A Deeper Look.</t>
  </si>
  <si>
    <t>Deep Fake Detection and Prevention: A Digital 
Forensics Perspective</t>
  </si>
  <si>
    <t>Pradeep S, Shivashankara S, Pavithra D R,  Sudeep J</t>
  </si>
  <si>
    <t>Investophile.AI: Optimizing Modern Portfolio Theory using Neural Networks to provide better Diversification of Investment Portfolio</t>
  </si>
  <si>
    <t>Prathibha BS, Madhurank Hegde, Abhishek, Akhil kulkarni</t>
  </si>
  <si>
    <t>Prathibha B S</t>
  </si>
  <si>
    <t>Classical Raaga detection using ML</t>
  </si>
  <si>
    <t>Sujayeendra Rao</t>
  </si>
  <si>
    <t>MCA</t>
  </si>
  <si>
    <t>Dr.Sanjaykumar  CK</t>
  </si>
  <si>
    <t>Suggestion to improve the health condition based on after   Predicting Stroke using on AI Approach and its types</t>
  </si>
  <si>
    <t>Ms. Bhavani R,Ms. Supriya S</t>
  </si>
  <si>
    <t>Ms.G Sireesha</t>
  </si>
  <si>
    <t>Blood Connect : Proximity-Based Blood Donation Network with Real-Time Alerts and Tracking</t>
  </si>
  <si>
    <t>Nandini B M, Akhil Samantri, Darshan G , Kaushik Bhat , Nagarjun C S</t>
  </si>
  <si>
    <t>Journal of Scientific &amp; Industrial Research (JSIR)</t>
  </si>
  <si>
    <t>DOI: 10.56042/jsir.v84i12.20668</t>
  </si>
  <si>
    <t>-</t>
  </si>
  <si>
    <t>Exploring Transformers in Deep Reinforcement Learning: A Case Study with the Asteroids Game</t>
  </si>
  <si>
    <t>Nandini B M, Lokaranjan P, Sharmila B S</t>
  </si>
  <si>
    <t>Food link: Optimizing Food Redistribution Systems to Minimize Waste and Maximize Impact</t>
  </si>
  <si>
    <t>SumanaK M,Ayush Garg, Gaurav Singh, Ishan Praveen, Kshitij Singh</t>
  </si>
  <si>
    <t>Sumana K M</t>
  </si>
  <si>
    <t>Project Hub</t>
  </si>
  <si>
    <t>Sumana K M, Yashraj gupta</t>
  </si>
  <si>
    <t>An Energy Efficient and Secure WSN Routing protocol using Bayesian Networks and Elitist genetic algorithm</t>
  </si>
  <si>
    <t>Chaithra M,Sunitha R</t>
  </si>
  <si>
    <t>Sunitha R</t>
  </si>
  <si>
    <t>A Hybrid deep learning framework for rice yield prediction using optical remote sensing data</t>
  </si>
  <si>
    <t>Barghavi,Sumana K M,Usha K Patil</t>
  </si>
  <si>
    <t>FixNGo - A Platform for On-Demand Local Home Services</t>
  </si>
  <si>
    <t>Padmavati K, Dr. B R Vatsala, Niranjan Anant Bhat, 
Shivakumar D M,  Srinidhi V, Vighnesh Ishwar Bhat</t>
  </si>
  <si>
    <t>Padmavati K</t>
  </si>
  <si>
    <t>Early Detection of paddy Disease and severity based classification using variants- A step towards smart agriculture</t>
  </si>
  <si>
    <t>Dr. Jayasri B.S,Shivaprasad Devadiga,Prajwala G R,Prajwala Narayana Patwardhan</t>
  </si>
  <si>
    <t>Jayasri b.s</t>
  </si>
  <si>
    <t xml:space="preserve">2025 9th International Conference on Computational System and Information Technology for Sustainable Solutions (CSITSS) </t>
  </si>
  <si>
    <t>https://doi.org/10.1109/csitss67709.2025.11295786</t>
  </si>
  <si>
    <t>Patent Filled and Published</t>
  </si>
  <si>
    <t>Facial EMOTION Detection of Students using Deep Learning</t>
  </si>
  <si>
    <t>Ramya S,Jayasri B.S</t>
  </si>
  <si>
    <t>Jayasri B.S</t>
  </si>
  <si>
    <t>Comprehensive Framework for early prediction of Academic performance,Risks in students using Behavioural Analytics to Foster student Achievement with Temporal Inductive path neural Networks</t>
  </si>
  <si>
    <t>Presented</t>
  </si>
  <si>
    <t>The study and analysis of intrusion detection in cyber attacks using advanced deep learning methds</t>
  </si>
  <si>
    <t>Smitha B, Dr. Shabana Sultana</t>
  </si>
  <si>
    <t>Smitha B</t>
  </si>
  <si>
    <t>Optimizing the reliability of Flash Storage through a learning neural network stratergy: Accelerated Hybrid Error Control Coding</t>
  </si>
  <si>
    <t>Poornima H S and Nagaraju C</t>
  </si>
  <si>
    <t>Poornima H S</t>
  </si>
  <si>
    <t>A Comprehensive Survey on Energy-Efficient Intelligent Reflecting Surfaces-Assisted Unmanned Aerial Vehicle-Based Communicationse</t>
  </si>
  <si>
    <t>M S Lavanya, Rajalekshmi Kishore, Sanjeev Gurugopinath and Sami Muhaidat</t>
  </si>
  <si>
    <t>IEEE Sensors Reviews</t>
  </si>
  <si>
    <r>
      <rPr>
        <color rgb="FF1155CC"/>
        <u/>
      </rPr>
      <t>10.1109/SR.2025.3639323</t>
    </r>
  </si>
  <si>
    <t>Channel models, energy efficiency (EE), intelligent reflecting surfaces (IRS), optimization techniques, unmanned aerial vehicles (UAVs).</t>
  </si>
  <si>
    <t>Chanakya Felloship, DST TARE</t>
  </si>
  <si>
    <t>DST</t>
  </si>
  <si>
    <t>25 lakhs, 18 lakhs</t>
  </si>
  <si>
    <t xml:space="preserve">Dr Sanjeev Gurugopinath, AI director, MMRFICC,Dr Sami Muhaidat ,  Khalifa University, Abu Dhabi </t>
  </si>
  <si>
    <r>
      <rPr>
        <rFont val="Arial"/>
        <color rgb="FF0000FF"/>
        <sz val="9.0"/>
        <u/>
      </rPr>
      <t>https://ieeexplore.ieee.org/abstract/document/11278464</t>
    </r>
    <r>
      <rPr>
        <rFont val="Arial"/>
        <color rgb="FF000000"/>
        <sz val="9.0"/>
      </rPr>
      <t xml:space="preserve">   This article is published as a part of Research work</t>
    </r>
  </si>
  <si>
    <t>Energy Efficiency Analysis on UAV-USV
Communication Systmes in Harsh Environments
with Low-Power LoRa Networks</t>
  </si>
  <si>
    <t>Rajalekshmi Kishore1, Sanjeev Gurugopinath2 and Damodar Reddy Edla3, Kruthika, Anagha, Vishuprasad, Rajashekar</t>
  </si>
  <si>
    <t>AI-Powered Modern Library Technology and Service Management System with Augmented Reality Integration</t>
  </si>
  <si>
    <t>A survey on
synthetic data generation of medical images</t>
  </si>
  <si>
    <t>PAWAN BHARADWAJ and Nagaraju C</t>
  </si>
  <si>
    <t>PAWAN BHARADWAJ</t>
  </si>
  <si>
    <t>AI-Powered Smart Fuel Level Indicator and Prediction of Mileage for Two-Wheelers</t>
  </si>
  <si>
    <t>Nagaraju C</t>
  </si>
  <si>
    <t>NAGARAJU C</t>
  </si>
  <si>
    <t>Numerical Investigation of Heat Transfer Characteristics for Various CPU Designs</t>
  </si>
  <si>
    <t>MilindLal, N G Surabhi, Srikanth N S</t>
  </si>
  <si>
    <t>ME</t>
  </si>
  <si>
    <t>Srikanth N S</t>
  </si>
  <si>
    <t>On partition energy of lexicographic product of regular graphs</t>
  </si>
  <si>
    <t>pushpa D P,  Roopa S V, Sriraj M A</t>
  </si>
  <si>
    <t>Roopa S V</t>
  </si>
  <si>
    <t>Seidal energy of some large graphs</t>
  </si>
  <si>
    <t>Partition energy of corona of cir ulant graphs and their generalised complements</t>
  </si>
  <si>
    <t>Sriraj</t>
  </si>
  <si>
    <t>Design of cryptographic model using noise models in quantum computing and its performance analysis</t>
  </si>
  <si>
    <t>Lokesh BS; Narasimha Kaulgud</t>
  </si>
  <si>
    <t>Lokesh BS</t>
  </si>
  <si>
    <t>DETECTION OF SUSPICIOUS ACTIVITY IN VIDEO RECONNAISSANCE FRAMEWORK</t>
  </si>
  <si>
    <t>Shashank Dhananjaya, Narender M, Rohitaksha K,</t>
  </si>
  <si>
    <t>Shashank Dhananjaya</t>
  </si>
  <si>
    <t>Improving Lung Diagnosis with CNN and ResNet50 Deep Learning Techniques</t>
  </si>
  <si>
    <t>Shashidhar R, Kavyashree M K, Madhura J, Mayura Tapkire</t>
  </si>
  <si>
    <t>"Enhanced mechanical, thermal, and wear performance of halloysite nanotube infused carbon fiber epoxy composites"</t>
  </si>
  <si>
    <t>Yogesha K K, Muralidhara B, SP Kumaresh babu, B Suresha, MG Vasundhara, GK Kalavathi.</t>
  </si>
  <si>
    <t>Muralidhara B</t>
  </si>
  <si>
    <t>Microrobot For Lump Permeation with Artificial Intelligence and Attractive Torque Method</t>
  </si>
  <si>
    <t>Shikalgar Niyaj, Jhankar Moolchandani, Deepika Dhamija, J.R. Jessy Michla, C. Prithvi, Shweta V. Bondre</t>
  </si>
  <si>
    <t>Prithvi C</t>
  </si>
  <si>
    <t>A recent connected vehicle-IoT automotive application based on communication technology</t>
  </si>
  <si>
    <t xml:space="preserve">Prithvi C </t>
  </si>
  <si>
    <t xml:space="preserve">Innovative Leadership in college based higher education </t>
  </si>
  <si>
    <t>Praveen Kumar, Ratan Sarkar, Payal Kanwar, Saurabh Chandra, Prithvi C</t>
  </si>
  <si>
    <t>Checkerboard-Based Fault Detection for Memory BIST Systems</t>
  </si>
  <si>
    <t>Nirmitha S, Nithya K, B Rashmi R, Vaishali Shenoy B, Yajunath K</t>
  </si>
  <si>
    <t>Dr. Yajunath K</t>
  </si>
  <si>
    <t>Characterization of Potassium Titanate Whisker and UHMWPE‐reinforced Polyethersulfone/Short Carbon Fiber composites: Mechanical, thermal, and structural insights</t>
  </si>
  <si>
    <t>Harshavardhan B, Vishwas Mahesh, Vinyas Mahesh, Arun C Dixit</t>
  </si>
  <si>
    <t>Vishwas Mahesh</t>
  </si>
  <si>
    <t>A Game Theory Approach to Optimizing Electric Vehicle Charging Infrastructure in Urban Areas</t>
  </si>
  <si>
    <t>Arun C Dixit, Harshavardhan B, Prakash K N</t>
  </si>
  <si>
    <t>Arun C Dixit</t>
  </si>
  <si>
    <t>Data Augmented Machine Learning Approach for Predicting Wear Behavior of 3D Printed Recycled and Virgin Polymers</t>
  </si>
  <si>
    <t>Arun C. Dixit, B. Harshavardhan, K.N. Prakasha,</t>
  </si>
  <si>
    <t>EARLY DETECTION OF HEART BLOCKAGES: THE POWER OF AI AND FEEDFORWARD NEURAL NETWORKS</t>
  </si>
  <si>
    <t>PRANAV VASISHTA G,ADARSH HEGDE,DR. SHASHIDHAR R,MADHURA J,MAYURA D TAPKIRE,ROOPA M</t>
  </si>
  <si>
    <t>A Hybrid Ensemble Model for Detecting Glaucoma Disease Using Fundus Images</t>
  </si>
  <si>
    <t xml:space="preserve">Dr.Shashidhar R,Manjunath A S,Roopashree S,Druva Kumar S,Pallavi H B,Mayura D Tapkire </t>
  </si>
  <si>
    <t>ASL Gesture Recognition and Speech Conversion</t>
  </si>
  <si>
    <t>Suhas BHaradwaj R, Vedavathi N, harsihta, Aishwarya</t>
  </si>
  <si>
    <t>2025 Annual International Conference on Data Science, Machine Learning and Blockchain Technology</t>
  </si>
  <si>
    <t>10.1109/AICDMB64359.2025.11277848</t>
  </si>
  <si>
    <t>Wi-Fi 8 and the Future of Ultra-Reliable Wireless: A Review of IEEE 802.11bn Technologies and Trends</t>
  </si>
  <si>
    <t>DR. VIJAY B T</t>
  </si>
  <si>
    <t>AI-Enhanced Multi-AP Coordination for Low-Latency Access in Wi-Fi 8 (IEEE 802.11bn) Networks</t>
  </si>
  <si>
    <t>Implementation and Analysis of  Utilizing Memristor  Elements</t>
  </si>
  <si>
    <t>Dr.Shashidhara H R</t>
  </si>
  <si>
    <t>Springer Nature, BioNanoScience</t>
  </si>
  <si>
    <t>https://doi.org/10.1007/s12668-025-01945-z</t>
  </si>
  <si>
    <t>Exploring the Effects of PjBL and Other Pedagogical Methods: Bridging the gap between academia and industry needs in teaching Analog circuit design course</t>
  </si>
  <si>
    <t>Other Publication</t>
  </si>
  <si>
    <t>Preprint</t>
  </si>
  <si>
    <t>DESIGN AND IMPLEMENTATION OF 1x3 ROUTER INPUT-OUTPUT PROTOCOL FOR NETWORK ON CHIP (NoC)</t>
  </si>
  <si>
    <t>Bhumika , Varsha, Remya Jayachandran</t>
  </si>
  <si>
    <t xml:space="preserve">IEEE IC-DECoN 2025
</t>
  </si>
  <si>
    <t>https://doi.org/10.1109/DECoN67170.2025.11448043</t>
  </si>
  <si>
    <t>From Theory to Practice: Experiential Learning in Analog Electronic Circuits Lab</t>
  </si>
  <si>
    <t>IEEE Transactions on Education</t>
  </si>
  <si>
    <t>https://doi.org/10.1109/TE.2026.3664177</t>
  </si>
  <si>
    <t>Design and Development of a Stereo Vision-Based Depth Mapping System for Surveillance in Underground Mining Environments</t>
  </si>
  <si>
    <t>Remya Jayachandran, Anush H, Charan H, Laxman B, Abhishek CM, Rupesh S, Shaen K</t>
  </si>
  <si>
    <t>Enhancing Power Quality Through ANFIS Controller-Enabled Dynamic Voltage Restorer</t>
  </si>
  <si>
    <t>SONAXI BHAGAWAN RAIKAR, Sahana Jain M P, Nandini Kodihalli and Rajeshwari B Umadi</t>
  </si>
  <si>
    <t>Sonaxi Bhagawan Raikar</t>
  </si>
  <si>
    <t>Adaptive Frequency Filtering Strategy for Efficient Energy Management in Battery-Supercapacitor EVs</t>
  </si>
  <si>
    <t>Sonaxi Bhagawan Raikar, K. Panduranga Vittal</t>
  </si>
  <si>
    <t>jayanth K, Suresh G S</t>
  </si>
  <si>
    <t>Evaluatting Machine Learning model for crop recommendation with optimal nuetrient Deviation Feature</t>
  </si>
  <si>
    <t xml:space="preserve">Dr. Bhat Geetalaxmi Jairam </t>
  </si>
  <si>
    <t>Secure Quantum Machine Learning via Quantum Cryptography: Theoretical Framework and implementation insight</t>
  </si>
  <si>
    <t xml:space="preserve"> 8/3/25</t>
  </si>
  <si>
    <t xml:space="preserve"> A Sector-Based Comparative Study of Phishing Detection Using Gmail, Yahoo, and SpamAssassin</t>
  </si>
  <si>
    <t>Dr. Sharmila BS, Dr. Nandini B M; Dr. Kavitha S S; Mohit R D; Hema Chandra P N; Lokesha H R; Vatsala B R</t>
  </si>
  <si>
    <t>Dr. Sharmila B S</t>
  </si>
  <si>
    <t>Federated Reinforcement Learning for Distributed MAC Optimization in IEEE 802.11bn Networks</t>
  </si>
  <si>
    <t>Face Recognition Attendance System</t>
  </si>
  <si>
    <t xml:space="preserve">G B Janardhana Swamy,Aryan Mandla </t>
  </si>
  <si>
    <t>Prospective Competence of Magnesium-ion over  Lithium-ion Batteries in Electric Propulsion</t>
  </si>
  <si>
    <t>Rupesh, Remya Jayachandran, Suma A</t>
  </si>
  <si>
    <t>ICISPES 2025</t>
  </si>
  <si>
    <t>https://doi.org/10.1051/e3sconf/202669204006</t>
  </si>
  <si>
    <t>Review on memristor emulator circuits and its applications</t>
  </si>
  <si>
    <t>Remya Jayachandran, Veena M Kurup</t>
  </si>
  <si>
    <t>QoS-Aware Hybrid MAC Protocols for Real-Time Applications in IEEE 802.11bn Networks</t>
  </si>
  <si>
    <t>Energy–Aware and Efficient MAC Scheduling for IEEE 802.11bn Using Lightweight Edge Intelligence</t>
  </si>
  <si>
    <t>Circuiting the Gap: Experiential Learning to Align Electronic Lab Education with Industry Needs</t>
  </si>
  <si>
    <t>preprint</t>
  </si>
  <si>
    <t>Advancements in memristor based audio processing in Hearing aid technologies</t>
  </si>
  <si>
    <t>Next-Generation High-Speed Electronics and Optoelectronics: Volume 1, Springer</t>
  </si>
  <si>
    <t>Advances in Dopamine and Stress Hormone Detection Using Nanomaterials</t>
  </si>
  <si>
    <t>Remya Jayachandran, Satyadutt M S, Nidhishree, Vishanth S, Aditya R</t>
  </si>
  <si>
    <t>27/03/2026</t>
  </si>
  <si>
    <t>Next-Generation High-Speed Electronics and Optoelectronics: Volume 3, Springer</t>
  </si>
  <si>
    <t>CNN Driven Feature Extraction with ANN Based Prediction for Network-on-Chip Congestion Estimation</t>
  </si>
  <si>
    <t xml:space="preserve">Shruthi R, Shashidhara H R, Priyanka M P, Nikitha H S, M B Nishanth Aiyappa </t>
  </si>
  <si>
    <t>Structural Performance Evaluation of NSM-GFRP Strengthened Concrete Beams: A Numerical Approach</t>
  </si>
  <si>
    <t>S Sharanya; N. C. Balaji</t>
  </si>
  <si>
    <t>Innovative Infrastructure Solutions</t>
  </si>
  <si>
    <t>Experimental study on shear strengthening of reinforced concrete beams using NSM-GFRP strip techniques</t>
  </si>
  <si>
    <t>Shivanagouda Biradar; M Shrikanth; N C Balaji,</t>
  </si>
  <si>
    <t>Experimentally Evaluating the Flexural Behaviour of RC Beams Strengthened by NSM Technique with GFRP Strips</t>
  </si>
  <si>
    <t>M Shrikanth; Shivanagouda Biradar; N C Balaji,</t>
  </si>
  <si>
    <t>Performance analysis of FSO OFDM for 256-QAM scheme under optical diverse channel</t>
  </si>
  <si>
    <t xml:space="preserve">Arun Kumar , A. R. Aswatha , K. Ashok , Devaraju Ramakrishna and Aziz Nanthaamornphong </t>
  </si>
  <si>
    <t>Ashok K</t>
  </si>
  <si>
    <t>Advancing Dermatological AI: A Unified Deep Learning Pipeline for Skin Lesion Analysis</t>
  </si>
  <si>
    <t>A S Manjunath ,Shashidhar R , Mayura Tapkire</t>
  </si>
  <si>
    <t xml:space="preserve">	
MEDALS: A Sustainable AI Framework for Energy-Efficient Routing in 5G Vehicular Networks</t>
  </si>
  <si>
    <t xml:space="preserve">G. Balram, KDV Prasad , Kamalakar Ramineni c, Rahul Divgan, K. Ashok , N.V. Phani Sai Kumar </t>
  </si>
  <si>
    <t>Deep Sequence and Graph-Based Channel State Prediction for Intelligent 6G Wireless Networks in Dynamic Environments</t>
  </si>
  <si>
    <t>Ashok K, Rajalalekshmi Kishore, Sudha T, Monika Gupta, Santhosh Krishna B V , Bhaskar S V</t>
  </si>
  <si>
    <t>Sentiment Analysis of Financial Market Using Multi-source Data Integration</t>
  </si>
  <si>
    <t>K Raghuveer, Pranav.S.Sharma, Ananth G S</t>
  </si>
  <si>
    <t>K Raghuveer</t>
  </si>
  <si>
    <t>Antriksh N, Dr. Rekha K S,Nithya M R, Sumana K M</t>
  </si>
  <si>
    <t>Data-Driven Matching Framework for Movies and TV Catalogs: Enhancing Accuracy with Hybrid Caching and Retrieval</t>
  </si>
  <si>
    <t>Ashok K, Sudha T, Roja Ramani D, Santhosh Krishna B V</t>
  </si>
  <si>
    <t>Adaptive ML-Aided Beamforming for Resilient 6GCommunication in Post-Disaster and Conflict Zones</t>
  </si>
  <si>
    <t>Ashok K , Sudha T, Rajalekshmi Kishore</t>
  </si>
  <si>
    <t>Assessment of waste cooking oil-based biodiesel blend: Properties, performance and optimal blend ratio</t>
  </si>
  <si>
    <t>Kadumanadka Srithejas, Vikram Athreya, Pathirimadam Santhamallappa Prajwal Raghu Ram Achar, Kalya Tulasidas Vadiraj</t>
  </si>
  <si>
    <t>Kalya Tulasidas Vadiraj</t>
  </si>
  <si>
    <t>An Experimental Investigation on Mechanical and Two Body Abrasive Wear Characteristics of Lignocellulosic Fiber Reinforced Polylactic Acid Sustainable Composites</t>
  </si>
  <si>
    <t>Nagaraj Malleshappa Pujar, Santosh Kumar, Kuntanahal Rajashekhara, Manjunath Yadav, D.
C. Madaiah, Bheemraj, J. Dharanish and N. Sharath Chandra</t>
  </si>
  <si>
    <t>Eco‑efficient synthesis of cerium oxide nanoparticles via combustion method: enhanced their photocatalytic, and electrochemical properties</t>
  </si>
  <si>
    <t>Thejaswini M. · Lakshmi Ranganatha V. · Pramila S. · Sangamesha M. A. · Nagaraju G. · Shivaganga G. S. Sharath Chandra N. · Mallikarjunaswamy C.</t>
  </si>
  <si>
    <t xml:space="preserve">Chemistry </t>
  </si>
  <si>
    <t>Mallikarjunaswamy C.</t>
  </si>
  <si>
    <t>La‑doped ZnO nanoparticles: unveiling structural and optical properties for advanced photocatalysis and sensing</t>
  </si>
  <si>
    <t>M. Thejaswini, V. Lakshmi Ranganatha , S. Pramila, M. A. Sangamesha, G. Nagaraju, N. Sharath Chandra , and C. Mallikarjunaswamy</t>
  </si>
  <si>
    <t>Enhanced mechanical, thermal, 
and wear performance of halloysite 
nanotube infused carbon fiber 
epoxy composites</t>
  </si>
  <si>
    <t xml:space="preserve">Yogesha K K, Muralidhara B , S. P. Kumaresh Babu, Suresha.
Vasundhara M G, Kalavathi G.
</t>
  </si>
  <si>
    <t xml:space="preserve">Mechanical </t>
  </si>
  <si>
    <t>Muralidhar B</t>
  </si>
  <si>
    <t>A Review on Facial Expression Recognition Approaches, Datasets and Technologies</t>
  </si>
  <si>
    <t>Lavanya M S, Vanishri Arun, Mayura Tapkire, Yulia Shichkina</t>
  </si>
  <si>
    <t>Improved Diabetes Detection through Integration of External Risk Factors and Machine Learning Techniques</t>
  </si>
  <si>
    <t>Natesh M; Ranjan Kumar H S; Vinutha K; Mayura Tapkire; Shazia Sulthana; Swetha K R; Bharath K N</t>
  </si>
  <si>
    <t>FedProx-Enhanced Federated Transfer Learning for Heterogeneous 3D Medical Image Classification</t>
  </si>
  <si>
    <t>Manjunath Naganna, Guru Ramachandra Nayaka, Natesh M, Mayura Tapkire</t>
  </si>
  <si>
    <t>A Real Time Parking Occupancy Inference System Using CCTV Streams Under Deployment Constraints</t>
  </si>
  <si>
    <t xml:space="preserve">Mayura Tapkire,Deepankar Gupta,Hemanth C S
</t>
  </si>
  <si>
    <t>15-02-2026</t>
  </si>
  <si>
    <t>15-06-2026</t>
  </si>
  <si>
    <t>GAN Based Infarto Cerebral Disease Bedhah</t>
  </si>
  <si>
    <t>Diksha S, Dr. K R Sumana</t>
  </si>
  <si>
    <t>Dr. K R Sumana</t>
  </si>
  <si>
    <t>Speak2SQL:Natural Language to SQL Conversion</t>
  </si>
  <si>
    <t>Mandara R, Dr. K R Sumana</t>
  </si>
  <si>
    <t>Ischemic Event Detection from Clinical Diagnosis
of Diabetic-Cardiac Victims Through GAN</t>
  </si>
  <si>
    <t>Sathyasree C D, Dr. K R Sumana</t>
  </si>
  <si>
    <t>Brain Tumor Detection of its stages and Treatment Advice Techniques using LBP and LIPC</t>
  </si>
  <si>
    <t>K Raghuveer, Anusha C M, Ananth G S</t>
  </si>
  <si>
    <t>Anusha C M</t>
  </si>
  <si>
    <t>Effect of natural Dye-based green surface treatment on coir fibers on structural, mechanical and thermal behavior</t>
  </si>
  <si>
    <t>T. Raghavendra, Niranjan C A, Siddhartha Kar, Mahesh M, Ravikumar B, Sathisha H M</t>
  </si>
  <si>
    <t xml:space="preserve">In-vitro corrosion evaluation methods for Mg based implant materials– 
A comprehensive Review: Part-1
</t>
  </si>
  <si>
    <t xml:space="preserve">Niranjan C A, Siddhartha Kar, Raghavendra T, Manoj Gupta </t>
  </si>
  <si>
    <t>Pixel-wise analysis of spatiotemporal dynamics in satellite-derived rainfall trends over Karnataka</t>
  </si>
  <si>
    <t>S. Vigneshwaran, Abhishek A Pathak, Vinod N Tamburic</t>
  </si>
  <si>
    <t>S. Vigneshwaran</t>
  </si>
  <si>
    <t>Remote Sensing in Earth Systems Sciences</t>
  </si>
  <si>
    <t>Nanotechnology in Cancer Imaging</t>
  </si>
  <si>
    <t>Snigdharani Panda, Rupesh Mandal, Chandra Sekhar Bhol</t>
  </si>
  <si>
    <t>Snigdharani Panda</t>
  </si>
  <si>
    <t>Springer Nature</t>
  </si>
  <si>
    <t>Dynamics of three-dimensional Janus-like swimmers at millimeter scale</t>
  </si>
  <si>
    <t>Khatun,Anjuman Ara/Sarkar,Ratan/Dey,Pampa/Panda,Snigdharani/Srivastava,Sunita/Parmananda,P.</t>
  </si>
  <si>
    <t>Machine Learning Approaches for Solar PV Fault Identification</t>
  </si>
  <si>
    <t>MV Prashanth, KN Bharath, N Fathima, BM Latha, MS Sathisha, BR Ramji, GR Yathiraj</t>
  </si>
  <si>
    <t xml:space="preserve">Dr.LATHA BM </t>
  </si>
  <si>
    <t>Toeplitz Determinant for a Subclass of Analytic Functions Involving Touchard Polynomials</t>
  </si>
  <si>
    <t>N. S. Tejas, Raju D. S, Magesh N</t>
  </si>
  <si>
    <t xml:space="preserve">Boletim da Sociedade Paranaense de Matematica
</t>
  </si>
  <si>
    <t>Applications of Generalized Mersenne Polynomials to a General Subclass of Bi-Bazilevič-Type Functions</t>
  </si>
  <si>
    <t>Magesh N., Raju D.S, Tejas N. S</t>
  </si>
  <si>
    <t>Communications in mathematicas and applications</t>
  </si>
  <si>
    <t>New parity results for the 17-regular partition function</t>
  </si>
  <si>
    <t>A. Vanitha, D. Penniston, M. M. Vibha</t>
  </si>
  <si>
    <t>A. Vanitha</t>
  </si>
  <si>
    <t>On certain new modular relations for Ramanujan's continued fractions of sixteen order</t>
  </si>
  <si>
    <t>N. A. S. Bulkhali, M. P. Chaudary, A. Vanitha</t>
  </si>
  <si>
    <t>M. P. Chaudhary</t>
  </si>
  <si>
    <t>Performance Analysis of Solar Power Generation
Prediction Using Machine Learning</t>
  </si>
  <si>
    <t>Divya S Raj , Chidanandappa R , Puneeth S , Neeli Mallikarjuna</t>
  </si>
  <si>
    <t>Chidanandappa R</t>
  </si>
  <si>
    <t>Enhanced photocatalytic hydrogen evolution via Nitrogen and Sulfur Co‐functionalized Carbon Quantum Dot‐Modified ZnO nanocomposites: Experimental insights and mechanistic understanding</t>
  </si>
  <si>
    <t>HJ Yashwanth, M Madhukara Naik, Udayabhanu Udayabhanu, M Prathap Kumar, M Vinuth, MS Dileep</t>
  </si>
  <si>
    <t>HJ Yashwanth</t>
  </si>
  <si>
    <t>MATLAB: A game changer in Mathematical Education</t>
  </si>
  <si>
    <t>Harsha A J, Ramananda H S</t>
  </si>
  <si>
    <t>Harsha A J</t>
  </si>
  <si>
    <t>Hypercomplex Neural Network Based Elderly Activity Recognition For Intelligent Healthcare Systems</t>
  </si>
  <si>
    <t>Rashmi M R, B R Vatsala, Veena M, Mayura D Tapkire, C K Vanamala , Shruthi R, Abhishek K</t>
  </si>
  <si>
    <t>oaSustainable Lubrication Solutions: Rheological and Tribological Analysis of ZDDP-Enhanced Castor and Cashew Nut Shell Oil Biogenic Greases</t>
  </si>
  <si>
    <t>Ravikiran, K. R. Prakash, M. V. Praveen Kumar, D. V. Ravi Kumar</t>
  </si>
  <si>
    <t xml:space="preserve">Ravikiran </t>
  </si>
  <si>
    <t>Green synthesis of LaVO4 nanoparticles using Colocasia esculenta leaf extract for enhanced photocatalytic activity and electrochemical sensing of paracetamol</t>
  </si>
  <si>
    <t>Mallikarjunaswamy Chandrashekaraiah · Lakshmi Ranganatha Venkataravanappa·Soundarya T. Lakshmi Narayan Patel· Pushpa Chikkamulagudu Shivalingaiah · Pooja Kodamballi Ravi Shankar · Nagaraju Ganganagappa · Nagendra Prasad Honnegowdanahalli Shivabasappa·</t>
  </si>
  <si>
    <t>Mallikarjunaswamy C</t>
  </si>
  <si>
    <t>Automated Detection of Apple Tree Branch Diseases Using Gaussian Mixture Modelling and Image Processing Techniques</t>
  </si>
  <si>
    <t>Mohammed Muddasir N; Mayura Tapkire; Thejaswini R</t>
  </si>
  <si>
    <t>Orchestrating Tumor Microenvironment Modulation Through Artificial Intelligence-Driven Nanoparticle Systems for Precision Cancer Therapeutics</t>
  </si>
  <si>
    <t xml:space="preserve">S Sivanandam, Mohammad Givi Efgivia, Ashok K, S Manikandan, C.S. Preetham Reddy, Ykuntam Yamini Devi </t>
  </si>
  <si>
    <t>FUZZY DECISION SUPPORT SYSTEM IN REAL-TIME FOR BIOMEDICAL INTERNET OF THINGS MANAGEMENT IN HEALTHCARE ENVIRONMENTS</t>
  </si>
  <si>
    <t>K. ASHOK, SASIKALA DURAISAMY, P. VETRIVEL, K. PRATHAP KUMAR, K. DEEPA, MANJUNATHAN ALAGARSAMY, JIM MATHEW PHILIP, A. RAJARAMh</t>
  </si>
  <si>
    <t>Machine Learning-Based Earthquake Prediction and Alert System Using Raspberry Pi</t>
  </si>
  <si>
    <t>Monika Gupta, Ashok K, N Likhith Kumar, Santhosh, Chandu G, Shankarappa Y</t>
  </si>
  <si>
    <t>Distributed Edge Intelligence for Efficient AI Inference over 6G Wireless Networks</t>
  </si>
  <si>
    <t>Vijay B T, M N Varshini, Chaithra R</t>
  </si>
  <si>
    <t>Not Scopus</t>
  </si>
  <si>
    <t>Mathematical Modeling and Performance Analysis of Coordinated Multi-AP Beamforming in IEEE 802.11bn (Wi-Fi 8) Networks</t>
  </si>
  <si>
    <t>Intelligent Beamforming Enhancements for High-Efficiency Wireless Access in Wi-Fi 7 and Wi-Fi 8 Networks</t>
  </si>
  <si>
    <t xml:space="preserve">Dr. Vijay B T, Dr. Sudheesh P G, Dr. SAVIDHAN SHETTY C S, Dr. Rajasekhar Venkata </t>
  </si>
  <si>
    <t>Hyper complex Neural Network based elderly activity recognition  for intelligent Healthcare systems</t>
  </si>
  <si>
    <t>Rashmi MR, BR Vatsala, Veena M, Mayura DT, C.K.Vanamala, Shruthi R, Abhishek</t>
  </si>
  <si>
    <t>Vanamala C.K</t>
  </si>
  <si>
    <t>BLIND ASSISTANCE SYSTEM: REAL TIME OBJECT DETECTION WITH DISTANCE AND VOICE ALERTS</t>
  </si>
  <si>
    <t>C.K.Vanamala,Sandhya GA</t>
  </si>
  <si>
    <t>Design, synthesis, and mechanistic insights into the anti-proliferative activity of Novel N9-substituted harmine derivatives</t>
  </si>
  <si>
    <t>Rajesh Kancherla., Ravi Singh K., Vinay Kumar D C.,
Lohith T N., Ashok Reddy Katla., G.R. Satyanarayana., 
M.B. Madhusudana Reddy.</t>
  </si>
  <si>
    <t>M.B. Madhusudana Reddy</t>
  </si>
  <si>
    <t>Synthesis and structural studies of novel N-(2,6-dichlorophenyl)-4-[4-(methylsulfonyl) phenyl]-1,3-thiazol-2-amine: Insights from crystallographic to computational studies</t>
  </si>
  <si>
    <t xml:space="preserve">Chandra., B.S. Chethan., Vinay Kumar D C., B.H. Gayathri., P. Akhileshwari., K.C. Sunil Kumar. </t>
  </si>
  <si>
    <t>Vinay Kumar D C</t>
  </si>
  <si>
    <t>Multimodal cell death induced by indirubin-3′-oxime through inhibition of Akt/mTOR axis in lung cancer cells</t>
  </si>
  <si>
    <t>Na Young Kim., Shalini V. Gowda., Kachigere B. Harsha., Vinay Kumar D C., Chakrabhavi Dhananjaya Mohan., C.S. Shivakumara., Kanchugarakoppal S. Rangappa., Kwang Seok Ahn.</t>
  </si>
  <si>
    <t>Comprehensive analysis of triazolothiadiazole derivative: From synthesis and crystal structure to quantum chemical and molecular simulation studies on JAK2 protein</t>
  </si>
  <si>
    <t>Vinay Kumar D C, B.S. Chethan., S. Neetha., Darshini Gowda., V. Shalini., T.N. Lohith., K.S. Rangappa., N.K. Lokanath.</t>
  </si>
  <si>
    <t>Dynamic photoluminescent BaLaGaO4:Tb3+ nanophosphors for advanced optical encryption and anti-counterfeiting technologies</t>
  </si>
  <si>
    <t>G.R. Mamatha., T.N. Lohith., S. Neetha., Kothanahally S. Sharath Kumar., Mohd Sajid Ali., Santosh Kumar Verma</t>
  </si>
  <si>
    <t>Lohith T. N.</t>
  </si>
  <si>
    <t>Unraveling the synthesis, crystal structure, DFT, Pharmacophore and in-silico studies of a chalcone derivative: An experimental and theoretical approaches</t>
  </si>
  <si>
    <t>Karthik V., Lohith T. N., Chethan B. S., Neetha S.,  Rajiv Patel., Sridhar M. A., Lokanath N. K.</t>
  </si>
  <si>
    <t>Lohith T. N.  and  Sridhar M. A</t>
  </si>
  <si>
    <t>X-ray structural analysis, quantum chemical computations, molecular docking, and molecular dynamics simulations of Diethyl 5’-amino-3,3-dibromo-2,6-dicyano1,2,3,4-tetrahydro-[1,1.3,1-terphenyl] 2,4-dicarboxylate</t>
  </si>
  <si>
    <t>Geetha D․ V․, Harisha A․ S․, Karthik V․, Chandana S․ N․, Kavitha H․ D․, Lakshminarayana B․ N․, Sridhar M․ A․</t>
  </si>
  <si>
    <t>Lakshminarayana B․ N</t>
  </si>
  <si>
    <t>Multifaceted exploration of benzyl 5-(p-tolyl)-1,3,4-thiadiazole-2-carboxylate: Spectroscopic, structural, and computational insights into its drug-like potential</t>
  </si>
  <si>
    <t>Karthik V․, Santhosh C․, Geetha D․ V․, Chandini K․ M․, Kishorkumar Sindogi., Sridhar M․ A․, Sadashiva M․ P․</t>
  </si>
  <si>
    <t>Sridhar M․ A․</t>
  </si>
  <si>
    <t xml:space="preserve">Comprehensive structural, electronic, and in-silico characterization of 1-phenyl-5-(m-tolyl)-1H-tetrazole as a potential steroidogenic factor-1 (SF-1) inhibitor candidate
Author links open overlay panel
</t>
  </si>
  <si>
    <t>H.M. Dhanushchandraguru., B.C. Hemaraju., Chandra., Vinay Kumar D C., B.S. Chethan., P. Akhileshwari., R. Preetham., M.P. Sadashiva .</t>
  </si>
  <si>
    <t>Synthesis, structural elucidation, Hirshfeld surface, DFT studies, and in-silico studies of 2-(4-fluorophenyl)-5-(4-methoxyphenyl)-1,3,4-thiadiazole : An experimental and theoretical approach</t>
  </si>
  <si>
    <t>Kemparajegowda., Vinay Kumar D C․, T.N. Lohith., Neetha S․, Mohd Sajid Ali., Hamad A. Al-Lohedan., Vivek Hamse Kameshwar., G.R. Mamatha., Rajesh Kancherla., Santhosh Kumar Verma.</t>
  </si>
  <si>
    <t>Structural and computational investigation of the novel Isatin derivative: Exploration of the pharmacokinetic and drug properties</t>
  </si>
  <si>
    <t>S Kishor Prasad., Vinay Kumar D C, B.S. Chethan., K. Pruthviraj., S.V. Niranjana., S. Kenchanna., S. Neetha., K. Manjunatha., B. Pramodh., N.K. Lokanath., 
K. Sunil.</t>
  </si>
  <si>
    <t>K. Sunil.</t>
  </si>
  <si>
    <t>A comprehensive analysis of the molecular packing in the crystal of (4-methoxyphenyl)methyl 4-(4-chlorophenyl)-1,3-thiazole-2-carboxylate: Insights of X-ray crystallography and DFT analysis</t>
  </si>
  <si>
    <t>Neetha S․, Lohith T․N․,  Santhosh C․, Sheela K․,  Ravi Singh K․, Sridhar M․A․, Sadashiva M․P․</t>
  </si>
  <si>
    <t>Sridhar M․A․</t>
  </si>
  <si>
    <t>Structural analysis and computational studies of pyrazole derivative: Investigation of interactions by X-ray crystallography, DFT, molecular docking, and molecular dynamics simulation</t>
  </si>
  <si>
    <t>Madalambika., T.N. Lohith., Neetha S․, Vivek Hamse Kameshwar., Kothanahally S. Sharath Kumar., Mohd Sajid Ali., Hamad A. Al-Lohedan., Vinay Kumar D C․, Santosh Kumar Verma.</t>
  </si>
  <si>
    <t>Synthesis, structure elucidation, DFT, molecular docking studies, and antioxidant activities of thiazole derivative: A combined experimental and computational study</t>
  </si>
  <si>
    <t>Neetha S., Santhosh C., Vinay Kumar D C., Lohith T. N., Pruthviraj K., Sunil K., Sadashiva M. P., Mohd Sajid Ali., Santosh Kumar Verma., Sunil Kumar Y. C.</t>
  </si>
  <si>
    <t>Design, structural characterization, computational techniques, and in-Silico assessment of 6-chloro-2-(3-chloro-1-(3-chloropyridin-2-yl)-1H-pyrazol-5-yl)-8-methyl-4H-benzo[d][1,3]oxazin-4-one offering a promising antagonist of the deadly coronavirus main protease, coupled with pharmacokinetic profiles and drug-like characteristics</t>
  </si>
  <si>
    <t>Rekharani D., Vinay Kumar D C., Chethan B S., Deepa Urs M V., Mahesha., Lokanath N K ., Naveen S.</t>
  </si>
  <si>
    <t>Naveen S.</t>
  </si>
  <si>
    <t>Exploring the structural intricacies of 1D HOF in a novel hydrazone derivative exhibiting anticancer potential: A crystallographic and computational approach</t>
  </si>
  <si>
    <t xml:space="preserve">N. Maithra., S. Sanjay Srivatsan., B. Keerthan Kumar., B.S. Chethan., K Pruthviraj., Vinay Kumar D C., B.R. Kirthan., M.C. Prabhakara., N.K. Lokanath. 
</t>
  </si>
  <si>
    <t>N.K. Lokanath</t>
  </si>
  <si>
    <t>An IoT-Enabled Smart Assistive System for Autonomous Navigation and Environmental Interaction for the Visually Impaired</t>
  </si>
  <si>
    <t>Aishwarya C, K R Sumana</t>
  </si>
  <si>
    <t>Aishwarya C</t>
  </si>
  <si>
    <t>International Advanced Research Journal in Science, Engineering and Technology</t>
  </si>
  <si>
    <t>10.17148/IARJSET.2026.13220</t>
  </si>
  <si>
    <t>AI-Based Transit Delay Predictor</t>
  </si>
  <si>
    <t>Shreelakshmi D M, K R Sumana</t>
  </si>
  <si>
    <t>Shreelakshmi</t>
  </si>
  <si>
    <t>10.17148/IARJSET.2026.13154</t>
  </si>
  <si>
    <t>Real-Time Mobile Malicious Webpage Detection Using a Hybrid CNN–LSTM Model</t>
  </si>
  <si>
    <t>Pavan Kumar K, K R Sumana</t>
  </si>
  <si>
    <t>Pavan Kumar</t>
  </si>
  <si>
    <t>10.17148/IARJSET.2026.13158</t>
  </si>
  <si>
    <t>Hybrid Machine Learning Approaches for Early Diabetes Prediction Using Patient Health Data</t>
  </si>
  <si>
    <t>Mohammed Nawaz Khan, K R Sumana</t>
  </si>
  <si>
    <t>Mohammed Nawaz Khan</t>
  </si>
  <si>
    <t>10.17148/IARJSET.2026.13150</t>
  </si>
  <si>
    <t>Early Prediction of Landslide Using IoT and Deep Learning Model</t>
  </si>
  <si>
    <t>Suryavanshi Akhilesh Vishnu, K R Sumana</t>
  </si>
  <si>
    <t>Suryavanshi Akhilesh Vishnu</t>
  </si>
  <si>
    <t>10.17148/IARJSET.2026.13146</t>
  </si>
  <si>
    <t>Gaze-Driven Cursor Control System</t>
  </si>
  <si>
    <t>Vishwas M, K R Sumana</t>
  </si>
  <si>
    <t>Vishwas M</t>
  </si>
  <si>
    <t>10.17148/IARJSET.2026.13135</t>
  </si>
  <si>
    <t>Enhancing Trust in Digital Payments: Benchmarking Machine Learning Models for Transactional Fraud Detection</t>
  </si>
  <si>
    <t>Karthik G Bhat, K R Sumana</t>
  </si>
  <si>
    <t>Karthik G Bhat</t>
  </si>
  <si>
    <t>10.17148/IARJSET.2026.13137</t>
  </si>
  <si>
    <t>Intelligent Detection of Sapthashira and Its Diseases</t>
  </si>
  <si>
    <t>Likhith Gowda K R, K R Sumana</t>
  </si>
  <si>
    <t>Likhith Gowda K R</t>
  </si>
  <si>
    <t>10.17148/IARJSET.2026.13140</t>
  </si>
  <si>
    <t>Smart Farming Assistant using AI for Weed Detection, Fertilizer Recommendation and Yield Prediction</t>
  </si>
  <si>
    <t>K R Sumana, Amulya S</t>
  </si>
  <si>
    <t>Amulya S</t>
  </si>
  <si>
    <t>10.17148/IARJSET.2026.13226</t>
  </si>
  <si>
    <t>Machine Learning Framework for Bharatanatyam Gesture and Facial Emotion Classification</t>
  </si>
  <si>
    <t>Bhuvana R, K R Sumana</t>
  </si>
  <si>
    <t>Bhuvana R</t>
  </si>
  <si>
    <t>10.17148/IARJSET.2026.13241</t>
  </si>
  <si>
    <t>An Efficient Grouping Strategy for Fault-Aware Weight Mappingin Memristor based Crossbar Arrays</t>
  </si>
  <si>
    <t>Kumuda H B, Shruthi K S, Shashidhara H R, Deepthi M S, Anjanappa C</t>
  </si>
  <si>
    <t>Kumuda H B, Shashidhara H R</t>
  </si>
  <si>
    <t>TriNet: An Optimized Hybrid Protocol for Energy-Efficient Wireless Sensor Networks</t>
  </si>
  <si>
    <t>Vismitha V, Rajalekshmi Kishore,  Ashok K</t>
  </si>
  <si>
    <t xml:space="preserve">ECE </t>
  </si>
  <si>
    <t>Vismitha V</t>
  </si>
  <si>
    <t xml:space="preserve"> Deep Learning-Enabled Multi-Satellite Terahertz Networks for Real-Time Global Climate Data Fusion and Analytics</t>
  </si>
  <si>
    <t>Ashok K, Abhay Chaturvedi, Sachin Jadhav</t>
  </si>
  <si>
    <t>Deep Learning Hybrids for Kannada Sign Language Digit Recognition:CNN with EfficientNet, LSTM, XGBoost, and SVM</t>
  </si>
  <si>
    <t>Ashwini D S,Rohini Nagapadma,Sharmila B S</t>
  </si>
  <si>
    <t xml:space="preserve">Ashwini D S </t>
  </si>
  <si>
    <t>Channel-Normalized Deep Neural Network with Hybrid Loss Optimization for Beamforming Vector Prediction in Massive MIMO Systems</t>
  </si>
  <si>
    <t>Ashok K, Sudha T, Rajalekshmi Kishore</t>
  </si>
  <si>
    <t>Impact Angle - Velocity Interactions Governing Solid-Particle Erosion in Laser Powder Bed Fused AlSi10Mg</t>
  </si>
  <si>
    <t>Rashmi Saragur Nanjundaiah, Shrikantha Sasihithlu Rao, K. Praveenkumar, Calvin Samuel S, T Ram Prabhu, and Katerina Skotnicova</t>
  </si>
  <si>
    <t>K Praveenkumar</t>
  </si>
  <si>
    <t>Effect of natural Dye-based green surface treatment on coir fibers on structural, mechanical and thermal behavior.</t>
  </si>
  <si>
    <t>T. Raghavendra1, Niranjan C A2*, Siddhartha Kar2, Mahesh M1, Ravikumar B1, Sathisha H M1</t>
  </si>
  <si>
    <t>Deep Learning applications in automated detection of plant diseases across diverse</t>
  </si>
  <si>
    <t>crops</t>
  </si>
  <si>
    <t>A Hybrid African Vulture Crayfish Optimization Algorithm for Optimal Allocation of Electric Vehicle Infrastructure and Distributed Power Generation</t>
  </si>
  <si>
    <t>Nagaling M Gaurav and H Pradeepa</t>
  </si>
  <si>
    <t>H Pradeepa</t>
  </si>
  <si>
    <t>Artificial Intelligence Techniques for Energy-Efficient Wireless Sensor Networks : A Comprehensive Review</t>
  </si>
  <si>
    <t>Kumuda  H B, Vismitha V, Lavanya, Rajalekshmi Kishore, Ashok K , Sanjeev Gurugopinath</t>
  </si>
  <si>
    <t>Kumuda  H B, Vismitha V</t>
  </si>
  <si>
    <t xml:space="preserve">Design  and Implementation pfa hand gesture controlled robotic arm using smart glove  and Machine learning </t>
  </si>
  <si>
    <t xml:space="preserve">Dr.Prakash.K.R, Umesh.V </t>
  </si>
  <si>
    <t>Umesh.V</t>
  </si>
  <si>
    <t xml:space="preserve">Conference </t>
  </si>
  <si>
    <t>Rationality of Seshadri constants on blow-ups of ruled surfaces</t>
  </si>
  <si>
    <t>Krishna Hanumanthu, Cyril J Jacob, Suhas B N, Amit Kumar Singh</t>
  </si>
  <si>
    <t>Suhas B N</t>
  </si>
  <si>
    <t>Six Sense Communication Networks</t>
  </si>
  <si>
    <t xml:space="preserve">Kumuda H B, Vismitha V, Rajalekshmi Kishore </t>
  </si>
  <si>
    <t>Ubiquitous Connectivity</t>
  </si>
  <si>
    <t xml:space="preserve">Vismitha V, Kumuda H B,  Rajalekshmi Kishore </t>
  </si>
  <si>
    <t>Vismitha V, Kumuda H B</t>
  </si>
  <si>
    <t>Federated learning and Neuro-Symbolic AI for botnet classification in IoT-Enabled consumer devices</t>
  </si>
  <si>
    <t>HV Balachandra Achar, PS Prasad, D Rajeshwari, N Raghu, BM Hemanth Kumar, TR Mahesh</t>
  </si>
  <si>
    <t>HV Balachandra Achar</t>
  </si>
  <si>
    <t>international journal of information Technology</t>
  </si>
  <si>
    <t>https://doi.org/10.1007/s41870-025-02993-0</t>
  </si>
  <si>
    <t>WEED AND CROP CLASSIFICATION SYSTEM USING SMART FARMING</t>
  </si>
  <si>
    <t>Bhavani R</t>
  </si>
  <si>
    <t>Darshini Y</t>
  </si>
  <si>
    <t>Trust Net:An AI powered unified framework for fraud detection and prevention</t>
  </si>
  <si>
    <t>Vanamala CK, Manu M, Lakshmi Lahari</t>
  </si>
  <si>
    <t>Manu M, Lakshmi Lahari</t>
  </si>
  <si>
    <t>Exploring the structural and electronic properties of the 4-formyl N,N-dimethylanilinium picrate: A combined experimental and theoretical study through crystal structure elucidation and DFT analysis</t>
  </si>
  <si>
    <t>Prasanna Kumar PS, Vinay Kumar DC, Chethan BS, Chandra, Mahesha, Lokanath NK, Karthik G, Vijendra Kumar Nanjundaswamy e e , Mahesha, L, Vijendra Kumar N, Nagendra Prasad HS, Deepa Urs MV, Naveen S</t>
  </si>
  <si>
    <t>Dual-Functional CeVO4 Nanoparticles: Green-Synthesized Photocatalyst for Wastewater Treatment and Potent Antifungal Agent Against Candida albicans</t>
  </si>
  <si>
    <t>Sunil Kumar KC, Chandra, Lakshmi Ranganatha V, Vilas Gowda KB, Ramith Ramu, Nagendra Prasad HS, Nagaraju G, Mallikarjunaswamy C</t>
  </si>
  <si>
    <t>Flower Classification using deep learning and machine learning Techniques</t>
  </si>
  <si>
    <t>Vedashree R</t>
  </si>
  <si>
    <t>A Secure Full Stack Deep Learning Framework for Brain Tumor  Detection using Conventional Neural Networks</t>
  </si>
  <si>
    <t>Vanamala C K, MD Imran Akthar</t>
  </si>
  <si>
    <t>Md Imran Akthar</t>
  </si>
  <si>
    <t xml:space="preserve">Revolutionizing Higher Education With Labzcon: A 24/7 Remote Laboratory Platform for  Hands -On -Learning </t>
  </si>
  <si>
    <t>DR.PrakashK.R., Ramya..</t>
  </si>
  <si>
    <t>Ramya</t>
  </si>
  <si>
    <t>UAV driven Deep learnig approaches for real time crop health monitoring and pest infestation dignosis using remote sensing intelligence in agriculture</t>
  </si>
  <si>
    <t>K Lakshmi Revathi,  Rajeshwari D, K sunil Kumar, Gopisetty Ramesh, Varada Rajkumar, Gokula Krishnan</t>
  </si>
  <si>
    <t>K Lakshmi Revathi</t>
  </si>
  <si>
    <t>A Review on: Bio-Based Materials in Construction</t>
  </si>
  <si>
    <t>Puneeth K; N. C. Balaji</t>
  </si>
  <si>
    <t>Puneeth K</t>
  </si>
  <si>
    <t>Journal of Structural Design and Construction Practice</t>
  </si>
  <si>
    <t>Biodegradable castor oil based polyurethane composite for controlled release of biostimulant and sustainable agricultural applications</t>
  </si>
  <si>
    <t>1.        S. Poornima, V. L. Yashaswini, B. S. Madhukar, M. A. Sangamesha</t>
  </si>
  <si>
    <t>M. A. Sangamesha</t>
  </si>
  <si>
    <t>"Design of an efficient
Power-optimized hardware accelerator on an FPGA platform for Edge-AI
applications</t>
  </si>
  <si>
    <t xml:space="preserve">Kavya AP, Ramya MV, Rajeshwari Dembala, Yogeesh Ambalagere Chandrashekaraiah, Suman Jayakumar </t>
  </si>
  <si>
    <t>Kavya AP</t>
  </si>
  <si>
    <t>Power-optimized hardware accelerator on an FPGA platform for Edge-AI</t>
  </si>
  <si>
    <t>Targeted Photo-triggered and pH-responsive Micellar Cancer Drug Delivery System with Real-time Monitoring through NSET Mechanism</t>
  </si>
  <si>
    <t>Shalini Dyagala, Milan Paul, Sneha Das, Sayantan Halder, Swati Biswas, and Subit Kumar Saha</t>
  </si>
  <si>
    <t>Swati Biswas and Subit Kumar Saha</t>
  </si>
  <si>
    <t>ACS Applied Bio Materials</t>
  </si>
  <si>
    <r>
      <rPr>
        <color rgb="FF000000"/>
        <u/>
      </rPr>
      <t>10.1021/acsabm.5c00770</t>
    </r>
  </si>
  <si>
    <t>Cancer drug delivery system, dual-responsive, block copolymers, NSET mechanism, real-time monitoring</t>
  </si>
  <si>
    <t>Optimized Cross-Modal Data Fusion Framework for Robust Emotion Recognition Multimodal using Hybrid Deep Learning Techniques</t>
  </si>
  <si>
    <t>Jairam B.G., Dhruva M.S., Sunitha R., ...Ramisetty S., Nandini S.R.</t>
  </si>
  <si>
    <t>Next-Generation Vehicle Safety with V2X, AI, and Digital Twins</t>
  </si>
  <si>
    <t>A Review of Materials, Geometry and Control Techniques Used for Residual Vibration Analysis of Single Flexible Link Manipulators</t>
  </si>
  <si>
    <t>Imran M Jamadar, Allwin Yesuvadian R, Prasanta Kumar Samal, VinodKumar H P, Anand A</t>
  </si>
  <si>
    <t>Discover Mechanical Engineering</t>
  </si>
  <si>
    <t>Single link robotic manipulator, control methods, geometry, materials used</t>
  </si>
  <si>
    <t xml:space="preserve">State University Research Excellence    </t>
  </si>
  <si>
    <t>Electrochemical Performance of BiOCl for Battery Applications: Structural, Optical, and Charge-Storage Properties</t>
  </si>
  <si>
    <t>Karthik G, Mahesh Lohith K S, Sunil Kumar K C, Nagaraju G, Avinash K, Harshitha H S, Pooja K R, Lakshmi Ranganatha V, Mallikarjunaswamy C</t>
  </si>
  <si>
    <t>Mechanical Characterization of FDM 3D Printed PLA
Composites Reinforced with Stainless Steel Particles</t>
  </si>
  <si>
    <t xml:space="preserve"> Allwin Yesuvadian R, Imran M Jamadar, Prasanta Kumar Samal,  Suresh Kumar S, Sayed Ahmed Imran Bellary , H S, Manjunath, Pravin Kubade,Jeevan M,  Hemachandra M</t>
  </si>
  <si>
    <t>Journal of Materials Engineering and Performance</t>
  </si>
  <si>
    <t>PLA Stainless Steel reinforement, mechanical characterization, 3D printing</t>
  </si>
  <si>
    <t>Personalized Food Recommendation Based on Disease and Food Image Analysis</t>
  </si>
  <si>
    <t>Vaishnavi, Sandhya N, Srujan S Padmashali , Keerthan R, Prajwal L, Nirmith</t>
  </si>
  <si>
    <t>Vaishnavi</t>
  </si>
  <si>
    <t>Food recognition, Convolutional Neural Network, Large Language Model</t>
  </si>
  <si>
    <t>Influence of Plate Geometry and Boundary Conditions on the Vibrational Response of Aluminium Plates</t>
  </si>
  <si>
    <t>Vaibhav S Deshpande- Prasanta Kumara Samal- Imran M Jamadar- Allwin Yesuvadian R- Likith B M</t>
  </si>
  <si>
    <t>Vaibhav S Deshpande</t>
  </si>
  <si>
    <t>plate vibrations, experimental modal analysis, geometry</t>
  </si>
  <si>
    <t>Review Shield AI: Fake Review Detection and Deletion in E-Commerce Platforms</t>
  </si>
  <si>
    <t xml:space="preserve">Sandhya N , Vaishnavi , U Shashank Shenoy , Tharun Kumar G M , Vikram </t>
  </si>
  <si>
    <t>Sandhya N</t>
  </si>
  <si>
    <t>Fake reviews detection, machine learning, natural language processing, e-commerce fraud, sentiment analysis, text classification, TF-IDF vectorization,</t>
  </si>
  <si>
    <t>ZenBox: AI Email Client with Semantic Search and RAG</t>
  </si>
  <si>
    <t>Sandhya N, Vaishnavi , Jigyasa Saini, Jatin, Jatin Mahajan, Mohammad Aamir</t>
  </si>
  <si>
    <t>Retrieval-Augmented Genera- tion, semantic search,</t>
  </si>
  <si>
    <t>Development of an Improved Control Strategy for Enhancing Resiliency of a Grid-Connected Solar PV System with AC–DC Microgrid</t>
  </si>
  <si>
    <t>KM Madesh, Rohit K Mathew, S Kumaravel, S Ashok</t>
  </si>
  <si>
    <t>Rohit K Mathew</t>
  </si>
  <si>
    <t>Lecture notes in Electrical Engineering</t>
  </si>
  <si>
    <t>https://link.springer.com/chapter/10.1007/978-981-96-5423-9_9</t>
  </si>
  <si>
    <t>power grid resilience, Renewable Energy</t>
  </si>
  <si>
    <t>Synergy between Digital Twin and Cyber-Physical System in Manufacturing</t>
  </si>
  <si>
    <t>Vikram Athreya, Sharath Chandra N, BC Anupama, B Hulugappa</t>
  </si>
  <si>
    <t>Vikram Athreya</t>
  </si>
  <si>
    <t>Estimation Of Tether Force In Power Generation from High Altitude Kites</t>
  </si>
  <si>
    <t>Ramya S, Rohit K Mathew, Ashok S</t>
  </si>
  <si>
    <t>AIP Conference proceedings</t>
  </si>
  <si>
    <t>In Press for publication/ Proof reading completed</t>
  </si>
  <si>
    <t>Wind Energy, Tether Force, Power Generation, Cross wind Flight Dynamics</t>
  </si>
  <si>
    <t>Prasanna Kumar Paduguru Shanthamallappa a , Vinay Kumar Doddakempegowdanakoppalu Chandra a , Chethan Burudeghatta Sundaramurthy b , Chandra a,* , Mahesha c , Lokanath Neraturu Krishnappagowda d , Karthik Gurusiddappa e , Mallesha Lingappa e , Vijendra Kumar Nanjundaswamy e , Nagendra Prasad Honnegowdanahalli Shivabasappa f , Deepa Urs Mysore Veeraraje Urs a,* , Naveen Shivalingegowda</t>
  </si>
  <si>
    <t>Dr. Deepa Urs M V, Dr. Chandra</t>
  </si>
  <si>
    <t>Graphene Oxide Reinforced with Palm Oil Nano-Lubricants: A Tribological Study for Sustainable EV Applications</t>
  </si>
  <si>
    <t>Allwin Yesuvadian R, Imran M Jamadar, Prasanta Kumar Samal, Bhushan A</t>
  </si>
  <si>
    <t>Industrial Lubrication and Tribology</t>
  </si>
  <si>
    <t>Nano biolubricant, Graphene Oxide, Four ball tester, Palm oil</t>
  </si>
  <si>
    <t>Free Vibration Analysis of a 3D printed Robotic Manipulator: Numerical and Experimental Approach</t>
  </si>
  <si>
    <t>Imran M Jamadar, Allwin Yesuvadian R, Prasanta Kumar Samal, Bhushan A, Sayed Ahmed Imran Bellary, Pravin R Kubade</t>
  </si>
  <si>
    <t>Part L: Journal of Materials: Design and Applications</t>
  </si>
  <si>
    <t>3D printing, PLA-CF, ANSYS, Experimental Modal analysis</t>
  </si>
  <si>
    <t>“Control of Residual Vibrations of 3D Printed Single Link Flexible Robotic Manipulator”</t>
  </si>
  <si>
    <t xml:space="preserve">Imran M Jamadar, Allwin Yesuvadian R, Prasanta Kumar Samal, Bhushan A, </t>
  </si>
  <si>
    <t>Journal of Sound and Vibration</t>
  </si>
  <si>
    <t>Residual Vibration control, 3D printing, PLC control, ANSYS, Transient analysis</t>
  </si>
  <si>
    <t>Drone assisted LAN based architecture for real time data transmission in offline disaster scenarios</t>
  </si>
  <si>
    <t xml:space="preserve">M. S Lavanya, Rajalekshmi Kishore, Adrutha S M, Skandan Bharadwaj, Thanushree M S, Shesha Krishna, Shesha krishna </t>
  </si>
  <si>
    <t>Transactions on Emerging trends in Telecommunications</t>
  </si>
  <si>
    <t>UAV, AI,YoLo, EE</t>
  </si>
  <si>
    <t>Chanakya Fellowship, TARE</t>
  </si>
  <si>
    <t>25 , 18</t>
  </si>
  <si>
    <t>Dr Sanjeev Gurugopinath, AI Director, MMRFIC</t>
  </si>
  <si>
    <t>Influence of Carbon Fiber Reinforcement and Geometry on Vibration Damping of PLA Based 3D Printed Complex Shaped Robotic Manipulator</t>
  </si>
  <si>
    <t xml:space="preserve"> Imran M Jamadar, Allwin Yesuvadian R, Prasanta Kumar Samal,</t>
  </si>
  <si>
    <t>Flexible PVA composites with strontium-doped cerium oxide NPs for UV Shielding Applications</t>
  </si>
  <si>
    <r>
      <rPr>
        <rFont val="Arial"/>
        <color theme="1"/>
        <sz val="9.0"/>
      </rPr>
      <t xml:space="preserve">Sachhidananda S, Nithin K. S. </t>
    </r>
    <r>
      <rPr>
        <rFont val="Arial"/>
        <b/>
        <color theme="1"/>
        <sz val="9.0"/>
      </rPr>
      <t xml:space="preserve">Nanjundaswamy.G.S. </t>
    </r>
    <r>
      <rPr>
        <rFont val="Arial"/>
        <color theme="1"/>
        <sz val="9.0"/>
      </rPr>
      <t xml:space="preserve">Jagajeevan Raj
B.M. Chandresh. M.P. Roopa S
</t>
    </r>
  </si>
  <si>
    <t>Nanjundaswamy G S</t>
  </si>
  <si>
    <t>Journal of Applied Polymer Science</t>
  </si>
  <si>
    <r>
      <rPr>
        <rFont val="Arial"/>
        <color rgb="FF1155CC"/>
        <sz val="9.0"/>
        <u/>
      </rPr>
      <t>https://doi.org/10.1002/app.70392</t>
    </r>
    <r>
      <rPr>
        <rFont val="Arial"/>
        <sz val="9.0"/>
      </rPr>
      <t xml:space="preserve"> </t>
    </r>
  </si>
  <si>
    <t>Tuning the properties of cobalt oxide thin films via precursor solution engineering for high-performance supercapacitor applications</t>
  </si>
  <si>
    <r>
      <rPr>
        <rFont val="Arial"/>
        <color theme="1"/>
        <sz val="9.0"/>
      </rPr>
      <t xml:space="preserve">Nayak, N. P., Bairy, R., Vijeth, H., Khadri, M. N., </t>
    </r>
    <r>
      <rPr>
        <rFont val="Arial"/>
        <b/>
        <color theme="1"/>
        <sz val="9.0"/>
      </rPr>
      <t>Nanjundaswamy, G. S.</t>
    </r>
    <r>
      <rPr>
        <rFont val="Arial"/>
        <color theme="1"/>
        <sz val="9.0"/>
      </rPr>
      <t xml:space="preserve">, Bhat, A. S., &amp; Yashika, P. B. </t>
    </r>
  </si>
  <si>
    <t>Raghavendra Bairy</t>
  </si>
  <si>
    <t>Inorganic Chemistry Communications</t>
  </si>
  <si>
    <t xml:space="preserve">https://doi.org/10.1016/j.inoche.2025.115729 </t>
  </si>
  <si>
    <t>New Thiadiazole and Benzothiazole Affixed Pyrazoles: Synthesis, Characterization, and Pharmacological Evaluation</t>
  </si>
  <si>
    <r>
      <rPr>
        <rFont val="Arial"/>
        <color theme="1"/>
        <sz val="9.0"/>
      </rPr>
      <t xml:space="preserve">Ramegowda, M. C., Ningaiah, S., Basavanna, V., Chandramouli, M., </t>
    </r>
    <r>
      <rPr>
        <rFont val="Arial"/>
        <b/>
        <color theme="1"/>
        <sz val="9.0"/>
      </rPr>
      <t>NanjundaswamyG.S</t>
    </r>
    <r>
      <rPr>
        <rFont val="Arial"/>
        <color theme="1"/>
        <sz val="9.0"/>
      </rPr>
      <t>., Swamy, S. N., &amp; Bhadraiah, U. K.</t>
    </r>
  </si>
  <si>
    <t>Umesha K B</t>
  </si>
  <si>
    <t>Biointerface Research in Applied Chemistry</t>
  </si>
  <si>
    <r>
      <rPr>
        <rFont val="Arial"/>
        <color rgb="FF1155CC"/>
        <sz val="9.0"/>
        <u/>
      </rPr>
      <t>https://doi.org/10.33263/BRIAC161.027</t>
    </r>
    <r>
      <rPr>
        <rFont val="Arial"/>
        <sz val="9.0"/>
      </rPr>
      <t xml:space="preserve"> </t>
    </r>
  </si>
  <si>
    <t>New pyrazole-thiadiazole Schiff derivatives: synthesis, characterization and pharmacological evaluation</t>
  </si>
  <si>
    <r>
      <rPr>
        <rFont val="Arial"/>
        <color theme="1"/>
        <sz val="9.0"/>
      </rPr>
      <t xml:space="preserve">C. Ramegowda, M., Basavanna, V., Chandramouli, M., Ningaiah, S., </t>
    </r>
    <r>
      <rPr>
        <rFont val="Arial"/>
        <b/>
        <color theme="1"/>
        <sz val="9.0"/>
      </rPr>
      <t>Nanjundaswamy.G.S.,</t>
    </r>
    <r>
      <rPr>
        <rFont val="Arial"/>
        <color theme="1"/>
        <sz val="9.0"/>
      </rPr>
      <t xml:space="preserve"> C. Vijendra, K., &amp; K. Bhadraiah, U.</t>
    </r>
  </si>
  <si>
    <t>Phosphorus, Sulfur, and Silicon and the Related Elements</t>
  </si>
  <si>
    <r>
      <rPr>
        <rFont val="Arial"/>
        <color rgb="FF1155CC"/>
        <sz val="9.0"/>
        <u/>
      </rPr>
      <t>https://doi.org/10.1080/10426507.2025.2606126</t>
    </r>
    <r>
      <rPr>
        <rFont val="Arial"/>
        <sz val="9.0"/>
      </rPr>
      <t xml:space="preserve"> </t>
    </r>
  </si>
  <si>
    <t>Green-synthesized YSZ/polypyrrole nanocomposites for enhanced electrochemical and butane gas sensing applications</t>
  </si>
  <si>
    <r>
      <rPr>
        <rFont val="Arial"/>
        <color theme="1"/>
        <sz val="9.0"/>
      </rPr>
      <t xml:space="preserve">Pavithra S, Kathyayani D, </t>
    </r>
    <r>
      <rPr>
        <rFont val="Arial"/>
        <b/>
        <color theme="1"/>
        <sz val="9.0"/>
      </rPr>
      <t>Nanjundaswamy. G.S</t>
    </r>
    <r>
      <rPr>
        <rFont val="Arial"/>
        <color theme="1"/>
        <sz val="9.0"/>
      </rPr>
      <t xml:space="preserve">, Soundarya T.L, Thejas R, Gouri Mirji, Krishna B.S, Nagaraju G &amp; Prashanth B </t>
    </r>
  </si>
  <si>
    <t>Krishna B.S</t>
  </si>
  <si>
    <t>Ionics</t>
  </si>
  <si>
    <r>
      <rPr>
        <rFont val="Arial"/>
        <color rgb="FF1155CC"/>
        <sz val="9.0"/>
        <u/>
      </rPr>
      <t>https://doi.org/10.1007/s11581-025-06684-5</t>
    </r>
    <r>
      <rPr>
        <rFont val="Arial"/>
        <sz val="9.0"/>
      </rPr>
      <t xml:space="preserve"> </t>
    </r>
  </si>
  <si>
    <t>Privacy-preserving biometric authentication through visual cryptography-based fingerprint protection</t>
  </si>
  <si>
    <t>Lokesh B S Karthik S A, Anilkumar B H, Bharath K N, Ananth G S, Paramesha R</t>
  </si>
  <si>
    <t>Lokesh B S</t>
  </si>
  <si>
    <t>Comprehensive Experimental Evaluation of Multiple Infiltration Models across Diverse Soils of an Agricultural Catchment</t>
  </si>
  <si>
    <t>Abhishek Pathak, Harshith, Vigneshwaran</t>
  </si>
  <si>
    <t>Abhishek Pathak</t>
  </si>
  <si>
    <t>Wire Arc Additive Manufacturing for Aerospace Components - Review of Materials and Performance</t>
  </si>
  <si>
    <t>Sharath Chandra N</t>
  </si>
  <si>
    <t>Macromolecular Symposia</t>
  </si>
  <si>
    <t>Influence of Graphene Nanoplatelets Concentration on the Mechanical
and Morphological Properties of Hybrid Basalt - Glass Fiber Reinforced
Epoxy Composites.</t>
  </si>
  <si>
    <t>Naresh Hanumantharayappa, Ramesha Kodandappa, Akkasali Taranath, Sharath
Chandra N, Vikram Athreya V</t>
  </si>
  <si>
    <t>Optimizing Quantum Variational Circuits for Enhanced Performance in Healthcare and Multidisciplinary Data Analysis</t>
  </si>
  <si>
    <t>Kavitha S S, Narasimha Kaulgud, Sharmila B S</t>
  </si>
  <si>
    <t>24/02/2026</t>
  </si>
  <si>
    <t>SN computer science</t>
  </si>
  <si>
    <t>https://doi.org/10.1007/s42979-026-04758-3</t>
  </si>
  <si>
    <t>Quantum Machine learning and healthcare</t>
  </si>
  <si>
    <t>no</t>
  </si>
  <si>
    <t>Prediction and Detection of Blood Diseases using Deep Learning</t>
  </si>
  <si>
    <t>Harshitha M K Srilakshmi C M Rashmi M R Bharathi R</t>
  </si>
  <si>
    <t>ICET-2026</t>
  </si>
  <si>
    <r>
      <rPr>
        <color rgb="FF1155CC"/>
        <u/>
      </rPr>
      <t>Quantum unsupervised machine learning: Quantum clustering</t>
    </r>
  </si>
  <si>
    <t>Kavitha S S, Narasimha Kaulgud</t>
  </si>
  <si>
    <t>29/9/2025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</si>
  <si>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Quantum Computational AI</t>
    </r>
  </si>
  <si>
    <r>
      <rPr>
        <color rgb="FF1155CC"/>
        <u/>
      </rPr>
      <t>https://doi.org/10.1016/B978-0-44-330259-6.00012-8</t>
    </r>
  </si>
  <si>
    <t>Cost Effective Permanent Magnet Synchronous motor drive with Hall effect position Sensors</t>
  </si>
  <si>
    <t>Shruthi B, Jayasankar V N, Gurumurthy S R, Nisarga M</t>
  </si>
  <si>
    <t>Shruthi B</t>
  </si>
  <si>
    <t>30/12/2024</t>
  </si>
  <si>
    <t>16/01/2025</t>
  </si>
  <si>
    <t>Springer LNME</t>
  </si>
  <si>
    <t>A Conversational Healthcare Companion in Kannada</t>
  </si>
  <si>
    <t xml:space="preserve">Jayalakshmi Raju, K. Rohitaksha, K. S. Rekha, Bhat Geetalaxmi Jairam, M. Narender, Shashank Dhananjaya, G. S. Ananth
</t>
  </si>
  <si>
    <t>K. S. Rekha</t>
  </si>
  <si>
    <t>18/10/2025</t>
  </si>
  <si>
    <t xml:space="preserve">Engineering, Technology &amp; Applied Science Research </t>
  </si>
  <si>
    <t>https://doi.org/10.48084/etasr.15627</t>
  </si>
  <si>
    <t>A Transformer Guided Generative Adversarial Network (TG-GAN) for Style Transfer in Artistic and Natural Scene Images</t>
  </si>
  <si>
    <t>Srividya Ramisetty, Sunayana S, Rekha K. S, Sonika Sharma D, Nandini G,  Narender M, Sunad Kumara A. N</t>
  </si>
  <si>
    <t>31/07/2025</t>
  </si>
  <si>
    <t>31/10/2025</t>
  </si>
  <si>
    <t>Ingénierie des Systèmes d’Information</t>
  </si>
  <si>
    <r>
      <rPr>
        <rFont val="Arial"/>
        <sz val="9.0"/>
      </rPr>
      <t xml:space="preserve"> 
</t>
    </r>
    <r>
      <rPr>
        <rFont val="Arial"/>
        <color rgb="FF1155CC"/>
        <sz val="9.0"/>
        <u/>
      </rPr>
      <t>https://doi.org/10.18280/isi.301016</t>
    </r>
  </si>
  <si>
    <t>QoS-Aware Task Offloading in Fog-IoT Environment Using Hybrid Deep Q-Learning with Actor-Critic Framework</t>
  </si>
  <si>
    <t>Raghavendra K, Sowmya T, Rekha K S, Narender M, Pallavi N R, Apeksha K Gowda, Afshan Zareen</t>
  </si>
  <si>
    <t>Journal Européen des Systèmes Automatisés</t>
  </si>
  <si>
    <t>https://doi.org/10.18280/jesa.581016</t>
  </si>
  <si>
    <t>Early Detection and Severity Classification of Diabetic Retinopathy Using Convolutional Neural Networks</t>
  </si>
  <si>
    <t>Karthik, S.A., Geetha, M.N., Prabhavathi, K., Dhananjaya Shashank, K. P. Suhaas &amp; M. Narender</t>
  </si>
  <si>
    <t>Karthik, S.A</t>
  </si>
  <si>
    <t>23/06/2025</t>
  </si>
  <si>
    <t>SN Computer Science</t>
  </si>
  <si>
    <t>https://doi.org/10.1007/s42979-025-04361-y</t>
  </si>
  <si>
    <t>Model Predictive Controller based Virtual Inertia Controller for Enhancing the Frequency Stability of Microgrid</t>
  </si>
  <si>
    <t>Nandini K, Vinatha U, Jayasankar v N</t>
  </si>
  <si>
    <t>Speed Control of SEPIC Converter-fed PMBLDC Motor for Electric Vehicle Application</t>
  </si>
  <si>
    <t>Shashank C N, Uday A, Sanjay S, Nithin Gowda S, Jayasankar V N and S R Gurumurthy</t>
  </si>
  <si>
    <t>14/10/2024</t>
  </si>
  <si>
    <t>https://doi.org/10.1007/978-981-95-2901-8_11</t>
  </si>
  <si>
    <t>A Congestion Aware LSTM -Based Network Traffic Prediction framework with comparative Evaluation against Transformer and Traditional Machine Learning Models in Wireless Networks</t>
  </si>
  <si>
    <t>MaheMubeen Akhtar, Shabana Sultana</t>
  </si>
  <si>
    <t>MaheMubeen Akhtar</t>
  </si>
  <si>
    <t>15/03/2026</t>
  </si>
  <si>
    <t>H. R. Pranav, Karhe Shardul Rajesh, Deepak P</t>
  </si>
  <si>
    <t>Deepak P</t>
  </si>
  <si>
    <t xml:space="preserve">Sensor Imaging Systems for Real-Time Applications </t>
  </si>
  <si>
    <r>
      <rPr>
        <color rgb="FF1155CC"/>
        <u/>
      </rPr>
      <t>https://doi.org/10.1201/9781003610373</t>
    </r>
  </si>
  <si>
    <t>All-Conversion-in-One Converter for EVs and Renewable Energy Applications”</t>
  </si>
  <si>
    <t>Swathi.K, Jayashree M, Manikannan K, Nadeem Pasha K, Hemanth B R, Raveendra R S</t>
  </si>
  <si>
    <t>Jayashree M</t>
  </si>
  <si>
    <t>16/03/2026</t>
  </si>
  <si>
    <t>20/04/2026</t>
  </si>
  <si>
    <t>Conference on Intelligent Computing and Control Systems (ICICCS)</t>
  </si>
  <si>
    <t>Assessing the Feasibility of Rooftop Rainwater Harvesting: A Sustainable Solution for Water Conservation and Urban Resilience in a University Campus</t>
  </si>
  <si>
    <t>Sanjith S. Anchan, Indumathi Shivamallappa, M. Jayanth, B. Kiranpreethi &amp; C. P. Nesara</t>
  </si>
  <si>
    <t>Sanjith S. Anchan</t>
  </si>
  <si>
    <t>17/2/26</t>
  </si>
  <si>
    <t>Springer Nature Link (Scopus)</t>
  </si>
  <si>
    <r>
      <rPr>
        <color rgb="FF000000"/>
      </rPr>
      <t>https://doi.org/10.1007/978-981-95-3218-6_19</t>
    </r>
    <r>
      <rPr/>
      <t xml:space="preserve"> </t>
    </r>
  </si>
  <si>
    <t>Real-Time Helmet-Violation Detection and Number-Plate Recognition with
Super-Resolved YOLO Pipeline</t>
  </si>
  <si>
    <t>V. Kumar JC , Annapurna. V K</t>
  </si>
  <si>
    <t>north</t>
  </si>
  <si>
    <t>Vasanth Kumar</t>
  </si>
  <si>
    <t>professor</t>
  </si>
  <si>
    <t>IEEE , 2025 2nd (APCIT)</t>
  </si>
  <si>
    <t>DOI: 10.1109/APCIT65661.2025.11411550,</t>
  </si>
  <si>
    <t>Multimodal Sensor Fusion for Waste Management Using Graph Neural Networks</t>
  </si>
  <si>
    <t>K, Raghavendra ., Jairam, Bhat Geetalaxmi., Sunitha S V., , Manjunath.G.Asuti, Kavyashree K R Ramya K.,R., Zareen Afshan.</t>
  </si>
  <si>
    <t>Bhat Geetalaxmi Jairam</t>
  </si>
  <si>
    <r>
      <rPr>
        <rFont val="&quot;Times New Roman&quot;,serif"/>
        <color rgb="FF1155CC"/>
        <sz val="12.0"/>
        <u/>
      </rPr>
      <t>https://doi.org/10.18280/jesa.590122</t>
    </r>
  </si>
  <si>
    <t>DeepCog: Classification of Mild Cognitive Impairment Using Structural MRI</t>
  </si>
  <si>
    <t>Nandini B M, Lavanya M S ,Vanishri Arun, Shashank Dhananjaya, Anand Srivatsa, Lokesha H R, Mayura Tapkire</t>
  </si>
  <si>
    <t>18/04/2026</t>
  </si>
  <si>
    <t>Journal of Applied Data Sciences</t>
  </si>
  <si>
    <t>Automated brain tumor detection in MRI images using CNN and ResNet architectures</t>
  </si>
  <si>
    <t>V K, Annapurna. , N, A. , Paramesha, K. , Shabana Sultana. , &amp; Humse, K.</t>
  </si>
  <si>
    <t>Journal of Integrated Science and Technology</t>
  </si>
  <si>
    <t>DOI:10.62110/sciencein.jist.2026.v14.1504</t>
  </si>
  <si>
    <t>“Dual 
filler synergy in glass fiber‑reinforced thermoplastic copolyester elastomer composites: A 
study on thermo‑mechanical behaviour</t>
  </si>
  <si>
    <r>
      <rPr>
        <rFont val="Arial"/>
        <b/>
        <color theme="1"/>
        <sz val="10.0"/>
      </rPr>
      <t>R. Hemanth</t>
    </r>
    <r>
      <rPr>
        <rFont val="Arial"/>
        <color theme="1"/>
        <sz val="10.0"/>
      </rPr>
      <t>, A. Tarun, B. Suresha, G. Mallesh, M. G. Dayanand, and S. K. Bhat</t>
    </r>
  </si>
  <si>
    <t>Suresha B and Bhat SK</t>
  </si>
  <si>
    <t>JOURNAL OF REINFORCED PLASTIC COMPOSITES</t>
  </si>
  <si>
    <t>3.1 (5 year IF)</t>
  </si>
  <si>
    <r>
      <rPr>
        <rFont val="&quot;Times New Roman&quot;,serif"/>
        <color rgb="FF1155CC"/>
        <sz val="12.0"/>
        <u/>
      </rPr>
      <t>https://doi.org/10.1177/07316844261424670</t>
    </r>
  </si>
  <si>
    <t>MQTT Security in IoT Networks: A Review of Misconfiguration Vulnerabilities, Quantum Risks, and the MQTTGuard Lightweight Detection Framework</t>
  </si>
  <si>
    <t>Nandini B M, Sharmila B S, Kavitha S S, Ashwini D, Lokesh H</t>
  </si>
  <si>
    <t>Experimental investigation on the mechanical behaviour of flax/aluminium 
wire mesh reinforced polypropylene hybrid composites</t>
  </si>
  <si>
    <r>
      <rPr>
        <rFont val="Arial"/>
        <color theme="1"/>
        <sz val="10.0"/>
      </rPr>
      <t xml:space="preserve"> M. S. Vinu Kumar, E. Sakthivelmurugan, </t>
    </r>
    <r>
      <rPr>
        <rFont val="Arial"/>
        <b/>
        <color theme="1"/>
        <sz val="10.0"/>
      </rPr>
      <t>R. Hemanth</t>
    </r>
    <r>
      <rPr>
        <rFont val="Arial"/>
        <color theme="1"/>
        <sz val="10.0"/>
      </rPr>
      <t>, K. Sathish, N. Santhosh, and A. T. 
Ravichandran</t>
    </r>
  </si>
  <si>
    <t>M S Vinukumar</t>
  </si>
  <si>
    <t>Revista Matéria (Rio de Janeiro)</t>
  </si>
  <si>
    <r>
      <rPr>
        <rFont val="&quot;Times New Roman&quot;,serif"/>
        <color rgb="FF1155CC"/>
        <sz val="12.0"/>
        <u/>
      </rPr>
      <t>https://doi.org/10.1590/1517-7076-RMAT-2025-0689</t>
    </r>
  </si>
  <si>
    <t>Optimizing solid particle erosion wear behaviour of the flax fiber 
reinforced epoxy composites: Experimental study with RSM and ANFIS approach</t>
  </si>
  <si>
    <r>
      <rPr>
        <rFont val="Arial"/>
        <color theme="1"/>
        <sz val="10.0"/>
      </rPr>
      <t xml:space="preserve">S.M. Vinu Kumara, N. Manikandaprabu , </t>
    </r>
    <r>
      <rPr>
        <rFont val="Arial"/>
        <b/>
        <color theme="1"/>
        <sz val="10.0"/>
      </rPr>
      <t>R. Hemanth</t>
    </r>
    <r>
      <rPr>
        <rFont val="Arial"/>
        <color theme="1"/>
        <sz val="10.0"/>
      </rPr>
      <t>, E. Sakthivelmurugan,
N. Santhosh</t>
    </r>
  </si>
  <si>
    <t>Tribology in Industry</t>
  </si>
  <si>
    <t xml:space="preserve">https://doi.org/10.24874/ti.2026.09.25.12  </t>
  </si>
  <si>
    <t>Dual nanofiller strategy for enhanced mechanical properties 
in carbon fiber reinforced polyamide blends</t>
  </si>
  <si>
    <r>
      <rPr>
        <rFont val="Arial"/>
        <color theme="1"/>
        <sz val="10.0"/>
      </rPr>
      <t xml:space="preserve">Sathyanarayana Srinivas, Hattinaik Hema, Devalapura Chikkakalaiah Madaiah, </t>
    </r>
    <r>
      <rPr>
        <rFont val="Arial"/>
        <b/>
        <color theme="1"/>
        <sz val="10.0"/>
      </rPr>
      <t>Rajashekaraiah Hemanth</t>
    </r>
    <r>
      <rPr>
        <rFont val="Arial"/>
        <color theme="1"/>
        <sz val="10.0"/>
      </rPr>
      <t xml:space="preserve"> , Bheemappa Suresh, Irulappasamy Siva, Sharul Sham Dol, Kamarul Arifin Ahmad and Mohamed Thariq Hameed Sultan</t>
    </r>
  </si>
  <si>
    <t>Bheemappa Suresha and Mohamed Thariq Hameed Sultan</t>
  </si>
  <si>
    <t>Nanotechnology Reviews</t>
  </si>
  <si>
    <t>https://doi.org/10.1515/ntrev-2025-0235</t>
  </si>
  <si>
    <t>Impact on Radial Distribution System by 
Simultaneous Allocation of Distributed 
Generators and Electric Vehicle 
Charging stations</t>
  </si>
  <si>
    <r>
      <rPr>
        <rFont val="Calibri"/>
        <color theme="1"/>
        <sz val="11.0"/>
      </rPr>
      <t xml:space="preserve">G.Lakith,M.V.Likithkumar,
Nagaling M.Gurav,H Pradeepa, 
Srishail K.Bilgundi, 
</t>
    </r>
    <r>
      <rPr>
        <rFont val="Calibri"/>
        <b/>
        <color theme="1"/>
        <sz val="11.0"/>
      </rPr>
      <t>Neeli Mallikarjuna</t>
    </r>
  </si>
  <si>
    <t>G.Lakith</t>
  </si>
  <si>
    <t>Lecture Notes in Electrical Engineering</t>
  </si>
  <si>
    <t>https://link.springer.com/chapter/10.1007/978-981-95-2901-8_16</t>
  </si>
  <si>
    <t>Retrieving Surface and Rootzone Soil Moisture Using Microwave Remote Sensing.</t>
  </si>
  <si>
    <t>Thaggahalli Nagaraju, S.K.,Abhishek A Pathak</t>
  </si>
  <si>
    <t>Abhishek A. Pathak</t>
  </si>
  <si>
    <t>24/04/2024</t>
  </si>
  <si>
    <t>Journal of the Indian Society of Remote Sensing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</si>
  <si>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https://doi.org/10.1007/s12524-024-01881-7</t>
    </r>
  </si>
  <si>
    <t>Dynamic monitoring of surface soil moisture fluctuations using synthetic aperture radar and data-driven algorithms</t>
  </si>
  <si>
    <t>Rajeev, H., Gururaj, P. &amp; Abhishek A Pathak</t>
  </si>
  <si>
    <t>Gururaj P</t>
  </si>
  <si>
    <t>22/08/2024</t>
  </si>
  <si>
    <t>28/11/2024</t>
  </si>
  <si>
    <t xml:space="preserve"> Applied Geomatics</t>
  </si>
  <si>
    <t xml:space="preserve"> https://doi.org/10.1007/s12518-024-00606-2</t>
  </si>
  <si>
    <t>Integrating socio-economic variables in urban flood damage assessments: a case study of Bengaluru, India</t>
  </si>
  <si>
    <t>Abhishek A Pathak, Apoorva R Mathad, Alexandre S Gagnon</t>
  </si>
  <si>
    <t>17/11/2024</t>
  </si>
  <si>
    <t xml:space="preserve"> Natural Hazards</t>
  </si>
  <si>
    <t>https://doi.org/10.1007/s11069-024-07019-9</t>
  </si>
  <si>
    <t>Commonwealth of Learning</t>
  </si>
  <si>
    <t>To identify gender-specific challengers, inform evidence-based recommendations for institutional improvement and strengthen faculty capacity through workshops that promote inclusive and equitable learning environments</t>
  </si>
  <si>
    <t>Commonwealth of Learing of 505 Burrard Street, Suite 1650, Box % Vancouver, BC V7X 1M6 CANADA</t>
  </si>
  <si>
    <t>425,250/-</t>
  </si>
  <si>
    <t>Principle Investigator, North Campus in association with Dr. Deepa Urs M V, Principle investigator, South Campus</t>
  </si>
  <si>
    <t>Machine Learning Based Neural Network Framework for State of Charge and State of Power Mapping Estimation of Lithium-ion Cells for Electric Vehicles</t>
  </si>
  <si>
    <t>Nitesh K A, Ravichandra and P K Ashwini Kumar</t>
  </si>
  <si>
    <t>14/1/2026</t>
  </si>
  <si>
    <t>Springer Nature - Ionics</t>
  </si>
  <si>
    <t>A Systematic Review of Artificial Intelligence Techniques for Phishing Attack Detection and Prevention</t>
  </si>
  <si>
    <t>Sharmila B S , Nandini B M, Kavitha S S, Bhuwaneshwari S R, Deepashree M, Lokesha H R, Vatsala B R</t>
  </si>
  <si>
    <t>Sharmila B S</t>
  </si>
  <si>
    <t>13/03/2026</t>
  </si>
  <si>
    <t>Security and Privacy</t>
  </si>
  <si>
    <t>A Machine Learning Approach to Estimate and Predict Land Surface Temperature (LST) for Bengaluru Considering Urban Parameters</t>
  </si>
  <si>
    <t>Shabana Sultana,K.N Vivek</t>
  </si>
  <si>
    <t>K.N Vivek</t>
  </si>
  <si>
    <t>13/08/2025</t>
  </si>
  <si>
    <t xml:space="preserve">Springer Nature Link </t>
  </si>
  <si>
    <t>Scopus</t>
  </si>
  <si>
    <t>https://doi.org/10.1007/978-3-031-97709-1_26</t>
  </si>
  <si>
    <t>Experiential and Simulation-Based Teaching Approaches for
Effective Learning of Network Analysis in Undergraduate Electronics
Engineering</t>
  </si>
  <si>
    <t>IEEE Transaction on Education</t>
  </si>
  <si>
    <t>Intelligent Control and Design of Converters 
for Renewable Energy Sources and Electric 
Vehicle Applications
Chapter 10. Open Charge Point Protocol 
(OCPP): A survey of enabling interoperability 
and innovation in electric vehicle 
charging infrastructure</t>
  </si>
  <si>
    <t>RAGHU J</t>
  </si>
  <si>
    <r>
      <rPr>
        <color rgb="FF1155CC"/>
        <u/>
      </rPr>
      <t>Ravi Raushan</t>
    </r>
  </si>
  <si>
    <t>31/03/2026</t>
  </si>
  <si>
    <t>Taylor and Fransis</t>
  </si>
  <si>
    <t>Intelligent Control and Design of Converters for Renewable Energy Sour</t>
  </si>
  <si>
    <t>Automatic Organiser of Snapped Notes into Subject- Wise Classification – Snap-To-PDF AI</t>
  </si>
  <si>
    <r>
      <rPr>
        <rFont val="Calibri"/>
        <b/>
        <color theme="1"/>
        <sz val="11.0"/>
      </rPr>
      <t>Naveen S. Pagad,</t>
    </r>
    <r>
      <rPr>
        <rFont val="Calibri"/>
        <color theme="1"/>
        <sz val="11.0"/>
      </rPr>
      <t xml:space="preserve"> Nagashree S, Nagashreya S G, Sinchana N, Rakesh M N</t>
    </r>
  </si>
  <si>
    <t>Naveen S Pagad</t>
  </si>
  <si>
    <t>17/03/2026</t>
  </si>
  <si>
    <t>International Journal for Research Trends and Innovation - (IJRTI)</t>
  </si>
  <si>
    <t>OCR,NLP,Document,Digitization,AI-Classification,PDF Generation,Handwritten Notes,Text Extraction.</t>
  </si>
  <si>
    <t>Academix: A Privacy-Preserving AI Study Assistant Based on Retrieval-Augmented Generation</t>
  </si>
  <si>
    <t>Padmavati K, Vatsala B R, Vibhas Nagalla</t>
  </si>
  <si>
    <t>14/01/2026</t>
  </si>
  <si>
    <t>A PSO-based internal model control approach for stability enhancement in cascade processes</t>
  </si>
  <si>
    <t>Raju Yerolla, S. Pullanikkattil, and C. S. Besta</t>
  </si>
  <si>
    <t>Chandra Shekar Bestha</t>
  </si>
  <si>
    <t>19/02/2025</t>
  </si>
  <si>
    <t>Wiley</t>
  </si>
  <si>
    <t>https://doi.org/10.1002%2Fadc2.70031</t>
  </si>
  <si>
    <t>PSO, IMC, Cascade Control</t>
  </si>
  <si>
    <t xml:space="preserve">Agri-Assist-AI: A Voice-Based Chatbot for Farmer 
Queries, Crop Disease Detection, and Policy 
Literacy in Local Language </t>
  </si>
  <si>
    <t>Padmavati K, Vatsala B R, Sai Manish, Pratheek, Amogh, Sanjay</t>
  </si>
  <si>
    <t>https://ieeexplore.ieee.org/stampPDF/getPDF.jsp?tp=&amp;arnumber=10911341&amp;ref=aHR0cHM6Ly9pZWVleHBsb3JlLmllZWUub3JnL2RvY3VtZW50LzEwOTExMzQx</t>
  </si>
  <si>
    <t>Pundru Chandra Shaker Reddy Kranthika Teral, Chinnaswamy C N, Arjun Nelikanti, Dev Vikas Juneja, Mohammad Khaja Shaik</t>
  </si>
  <si>
    <r>
      <rPr>
        <color rgb="FF1155CC"/>
        <u/>
      </rPr>
      <t>Pundru Chandra Shaker Reddy</t>
    </r>
  </si>
  <si>
    <t>13/02/2025</t>
  </si>
  <si>
    <t>4th International Conference on Advancement in Electronics &amp; Communication Engineering (AECE)</t>
  </si>
  <si>
    <t>Automating Secure NAS User Provisioning and Management with n8n Workflows.</t>
  </si>
  <si>
    <t>Shabana Sultana, Ekanth Gowda ,Nidhi Prashant Patil, Shreya Ojha</t>
  </si>
  <si>
    <t>Nidhi Prashant Patil</t>
  </si>
  <si>
    <t>14/12/2025</t>
  </si>
  <si>
    <t>19/01/2026</t>
  </si>
  <si>
    <t>International Conference on Emerging Trends in Advancements and Applications of Computational Intelligence Techniques (ETAACT 2026).IEEE  Xplore</t>
  </si>
  <si>
    <t>Interpretable machine learning model for temperature prediction in coal pulverizer of thermal power plant</t>
  </si>
  <si>
    <t>S. Pullanikkattil, Raju Yerolla, R. Vilanova, and C. S. Besta</t>
  </si>
  <si>
    <t>21/02/2025</t>
  </si>
  <si>
    <t xml:space="preserve">International Journal of Coal Preparation and Utilization </t>
  </si>
  <si>
    <t>https://doi.org/10.1080/19392699.2025.2473400</t>
  </si>
  <si>
    <t>A Comprehensive Study On Using Building Information Model (BIM) at the conceptual Stage of the Building</t>
  </si>
  <si>
    <t>BL Vandith Patel, Thanu HP, Punith B Kotagi</t>
  </si>
  <si>
    <t>Punith B Kotagi</t>
  </si>
  <si>
    <t>Sustainable Materials and Practices in Civil Engineering: Innovations for the Future, Springer Nature</t>
  </si>
  <si>
    <t>Blockchai-Enabled IoT-Based Patient Monitoring with Optimized Multi-scale Adaptive Graph Neural Network for Healthcare Environment</t>
  </si>
  <si>
    <r>
      <rPr>
        <rFont val="Calibri"/>
        <color theme="1"/>
        <sz val="11.0"/>
      </rPr>
      <t xml:space="preserve">Ajith S, </t>
    </r>
    <r>
      <rPr>
        <rFont val="Calibri"/>
        <b/>
        <color theme="1"/>
        <sz val="11.0"/>
      </rPr>
      <t>Naveen S. Pagad</t>
    </r>
    <r>
      <rPr>
        <rFont val="Calibri"/>
        <color theme="1"/>
        <sz val="11.0"/>
      </rPr>
      <t>, Sudhakar K, Punam Kumari, jagadevi N Kaishetty, Thyagarajan P</t>
    </r>
  </si>
  <si>
    <t>Ajith S</t>
  </si>
  <si>
    <t>18/08/2025</t>
  </si>
  <si>
    <t>Knowledge Based Systems</t>
  </si>
  <si>
    <t>Isolated Bidirectional converter for Electric vehicle battery
charging with Power conditioning</t>
  </si>
  <si>
    <t>Dr.B.R.Ananthapadmanabha</t>
  </si>
  <si>
    <t>INTERNATIONAL CONFERENCE ON SUSTAINABLE TECHNOLOGY</t>
  </si>
  <si>
    <t>AI-Driven Web Platform for Crop Yield Prediction
and Recommendation Based on Soil and
Environmental Parameters</t>
  </si>
  <si>
    <t>shabana sultana, Hema C Y, Jeevitha, Keerthana S M</t>
  </si>
  <si>
    <t xml:space="preserve">Ramanujan-type congruences for k-tuple 17-regular partition function </t>
  </si>
  <si>
    <t xml:space="preserve">A. Vanitha,  N. A. S. Bulkhali, M. P. Chaudhary </t>
  </si>
  <si>
    <t xml:space="preserve">M.P. Chaudhary </t>
  </si>
  <si>
    <r>
      <rPr>
        <rFont val="Arial, sans-serif"/>
        <color rgb="FF222222"/>
      </rPr>
      <t xml:space="preserve">HJ Yashwanth, M Madhukara Naik, Udayabhanu Udayabhanu, M Prathap Kumar, </t>
    </r>
    <r>
      <rPr>
        <rFont val="Arial, sans-serif"/>
        <b/>
        <color rgb="FF222222"/>
      </rPr>
      <t>M Vinuth</t>
    </r>
    <r>
      <rPr>
        <rFont val="Arial, sans-serif"/>
        <color rgb="FF222222"/>
      </rPr>
      <t>, MS Dileep</t>
    </r>
  </si>
  <si>
    <t>Journal of Environmental Chemical Engineering</t>
  </si>
  <si>
    <t>https://doi.org/10.1016/j.jece.2025.119249</t>
  </si>
  <si>
    <t>Brain MRI-Based Alzheimer's Disease Prediction Using CNN-Driven Deep Learning Framework</t>
  </si>
  <si>
    <t>Shabana Sultana</t>
  </si>
  <si>
    <t>shabana sultana</t>
  </si>
  <si>
    <t>13/02/2026</t>
  </si>
  <si>
    <t>3rd International Conference on Integrated Intelligence and Communication Systems (ICIICS-2026) IEEE Xplore</t>
  </si>
  <si>
    <t>Next-Generation Vehicle Safety With V2X, AI, and Digital Twins</t>
  </si>
  <si>
    <t>D. Chaithra, D. Rajeshwari, Shobha Rani N. R., Vijaya Kumar H. R., B. Revathi, L. Dayananda, G. Swetha, Anusha D. Y., Kamala Narayanan, N. Raghu</t>
  </si>
  <si>
    <t>26/3/26</t>
  </si>
  <si>
    <t>Green Infrastructure and Intelligent Systems for Smart Cities,</t>
  </si>
  <si>
    <t>scopus indexed</t>
  </si>
  <si>
    <t>https://doi.org/10.4018/979-8-2600-0883</t>
  </si>
  <si>
    <t>Nickel ferrite-driven microwave method for eco-friendly in-situ acetalization of furfural from defatted rice bran</t>
  </si>
  <si>
    <r>
      <rPr>
        <rFont val="Arial, sans-serif"/>
        <color rgb="FF222222"/>
      </rPr>
      <t xml:space="preserve">MM Rekha, </t>
    </r>
    <r>
      <rPr>
        <rFont val="Arial, sans-serif"/>
        <b/>
        <color rgb="FF222222"/>
      </rPr>
      <t>M Vinuth</t>
    </r>
    <r>
      <rPr>
        <rFont val="Arial, sans-serif"/>
        <color rgb="FF222222"/>
      </rPr>
      <t>, M Madhukara Naik, Kemparajegowda, V Swarupa, G Subbulakshmi</t>
    </r>
  </si>
  <si>
    <t>Rekha, M.M.</t>
  </si>
  <si>
    <t>Nanotechnology for Environmental Engineering</t>
  </si>
  <si>
    <t>https://doi.org/10.1007/s41204-025-00407-x</t>
  </si>
  <si>
    <t>Integrating IoT and Artificial Intelligence: A Comprehensive Framework for Creating Smart Environments</t>
  </si>
  <si>
    <t>swetha, Raghu N , Rajeshwari D, Tejaswini</t>
  </si>
  <si>
    <t>Swetha</t>
  </si>
  <si>
    <t>30/4/2026</t>
  </si>
  <si>
    <t>AI-Based Data Mobility and Intelligent Modeling for Smart Cities</t>
  </si>
  <si>
    <t>scopus</t>
  </si>
  <si>
    <t>Miniature Spiral Antenna for Biomedical Implants in the MICS Band</t>
  </si>
  <si>
    <t>Vaishnavi P, M S Lavanya, Rajalekshmi Kishore, Sanjeev Gurugopinath</t>
  </si>
  <si>
    <t>Dr Rajalekshmi Kishore</t>
  </si>
  <si>
    <t>27-3-2026</t>
  </si>
  <si>
    <t>30-4-2026</t>
  </si>
  <si>
    <t>ICICEE</t>
  </si>
  <si>
    <t>Antenna, Healthcare</t>
  </si>
  <si>
    <t>Dr Sanjeev Gurugopinath, MMRFIC</t>
  </si>
  <si>
    <t>Design of an efficient
Power-optimized hardware accelerator on an FPGA platform for Edge-AI
applications"</t>
  </si>
  <si>
    <t>Kavya AP, Rajeshwari D</t>
  </si>
  <si>
    <t>Bulletin of Electrical Engineering and Informatics</t>
  </si>
  <si>
    <t>FPGA, Edge AI</t>
  </si>
  <si>
    <t>Sentinel: A Human-in-the-loop AI Framework for Electoral De-Duplication</t>
  </si>
  <si>
    <t>Shabana Sultana, Zaiba Farheen ,Suhas U,Sujay Mudakappa Matur,</t>
  </si>
  <si>
    <t>Suhas U</t>
  </si>
  <si>
    <t>4th International Conference on Knowledge Engineering and Communication Systems(ICKECS-2026)IEEE Xplore</t>
  </si>
  <si>
    <t>Prototype for Stress-based Viral Fever Detection</t>
  </si>
  <si>
    <t>Dr. Anand Srivatsa, Kavya AP, Fareesha, Lekhana G, Gowthami VÂ and Chandanashree Y.K</t>
  </si>
  <si>
    <t>Anand Srivatsa</t>
  </si>
  <si>
    <t>Transactions on Applied Science, Engineering and Technology</t>
  </si>
  <si>
    <t xml:space="preserve">10.64559/tasetv1i2a001 </t>
  </si>
  <si>
    <t>Design and Simulation of a Model Predictive
Control Based Flight Control Technique</t>
  </si>
  <si>
    <t>Anand Srivatsa, Sanmith Ravinarayan Rao, Nutan Ganesh Hegde, Md. Reyan</t>
  </si>
  <si>
    <t>𝐅𝐨𝐮𝐫𝐭𝐡 𝐈𝐧𝐭𝐞𝐫𝐧𝐚𝐭𝐢𝐨𝐧𝐚𝐥 𝐂𝐨𝐧𝐟𝐞𝐫𝐞𝐧𝐜𝐞 𝐨𝐧 𝐈𝐧𝐭𝐞𝐫𝐚𝐜𝐭𝐢𝐯𝐞 𝐒𝐲𝐬𝐭𝐞𝐦𝐬 &amp; 𝐈𝐧𝐟𝐨𝐫𝐦𝐚𝐭𝐢𝐨𝐧 𝐒𝐨𝐜𝐢𝐞𝐭𝐲 𝐓𝐞𝐜𝐡𝐧𝐨𝐥𝐨𝐠𝐢𝐞𝐬 (𝐈𝐧𝐭𝐞𝐫𝐒𝐘𝐒 𝟐𝟎𝟐𝟔) IEEE</t>
  </si>
  <si>
    <t>Nova Market- Architecture of a Unified AI-Powered Marketplace for Products, Services and Freelancing</t>
  </si>
  <si>
    <t>Shama, zaiba Farheen, Anam Mishra, Anurag Singh, Atharva, Shabana Sultana</t>
  </si>
  <si>
    <t>Shama</t>
  </si>
  <si>
    <t>19/03/2026</t>
  </si>
  <si>
    <t>7th International Conference on Frontiers in Computing and Systems-2026 (Springer)</t>
  </si>
  <si>
    <t>Kiran Paul P, Sriraj M A, Roopa S V, Pushpa D P</t>
  </si>
  <si>
    <t>Kiran Paul P</t>
  </si>
  <si>
    <t>22-08-2025</t>
  </si>
  <si>
    <t>Proyecciones</t>
  </si>
  <si>
    <t>Hamming energy of certain graph products derived from regular circulant graphs</t>
  </si>
  <si>
    <t>Kiran Paul P, Sriraj M A, Roopa S V</t>
  </si>
  <si>
    <t>18-12-2025</t>
  </si>
  <si>
    <t>BSPM</t>
  </si>
  <si>
    <t>Some graph operations on regulargraphs and their seidel spectra</t>
  </si>
  <si>
    <t>Roopa S V, Kalpesh popat, Pushpa D P, Sriraj M A</t>
  </si>
  <si>
    <t xml:space="preserve">Palestine Journal of Mathematics </t>
  </si>
  <si>
    <t>Partition energy of corona of regular graphs and their generalized complements</t>
  </si>
  <si>
    <t>Pushpa D P, Roopa S V, Sriraj M A</t>
  </si>
  <si>
    <t xml:space="preserve">Roopa S V </t>
  </si>
  <si>
    <t>23-09-2025</t>
  </si>
  <si>
    <t>Proceedings of jangjeon Mathematics society</t>
  </si>
  <si>
    <t>Synergistic approaches in natural and synthetic polymer blends for biomedical applications-A review</t>
  </si>
  <si>
    <r>
      <rPr>
        <rFont val="Calibri"/>
        <color theme="1"/>
        <sz val="11.0"/>
      </rPr>
      <t xml:space="preserve">P Suhas, B Mahesh, SG Divakara, </t>
    </r>
    <r>
      <rPr>
        <rFont val="Calibri"/>
        <b/>
        <color theme="1"/>
        <sz val="11.0"/>
      </rPr>
      <t>GS Nanjundaswamy</t>
    </r>
    <r>
      <rPr>
        <rFont val="Calibri"/>
        <color theme="1"/>
        <sz val="11.0"/>
      </rPr>
      <t>, CS Mahadevaprasad, Alina Sionkowska, Ketul C Popat, D Channe Gowda</t>
    </r>
  </si>
  <si>
    <t>B. Mahesh</t>
  </si>
  <si>
    <r>
      <rPr>
        <rFont val="Calibri"/>
        <color rgb="FF1155CC"/>
        <sz val="11.0"/>
        <u/>
      </rPr>
      <t>https://doi.org/10.1016/j.eurpolymj.2025.114161</t>
    </r>
    <r>
      <rPr>
        <rFont val="Calibri"/>
        <color theme="1"/>
        <sz val="11.0"/>
      </rPr>
      <t xml:space="preserve"> </t>
    </r>
  </si>
  <si>
    <t>Unlocking the dual-detection potential of Nd2NiZrO6@GO electrodes for paracetamol and dopamine</t>
  </si>
  <si>
    <r>
      <rPr>
        <rFont val="Calibri"/>
        <color theme="1"/>
        <sz val="11.0"/>
      </rPr>
      <t xml:space="preserve">Gagana Mahesh, Sirisha Subbareddy, </t>
    </r>
    <r>
      <rPr>
        <rFont val="Calibri"/>
        <b/>
        <color theme="1"/>
        <sz val="11.0"/>
      </rPr>
      <t>Nanjundaswamy G S</t>
    </r>
    <r>
      <rPr>
        <rFont val="Calibri"/>
        <color theme="1"/>
        <sz val="11.0"/>
      </rPr>
      <t>, Manickam Selvaraj, Mohammed Ali Assiri, Nandini Seetharamaiah, Santhosh Arehalli Shivamurthy, Nagesh Khadri Malayanur Jaiprakash, Puttaswamappa Mallu, Sandeep Shadakshari</t>
    </r>
  </si>
  <si>
    <t>P. Mallu</t>
  </si>
  <si>
    <t>Journal of Materials Chemistry B</t>
  </si>
  <si>
    <r>
      <rPr>
        <rFont val="Calibri"/>
        <color rgb="FF1155CC"/>
        <sz val="11.0"/>
        <u/>
      </rPr>
      <t>https://doi.org/10.1039/D5TB01105A</t>
    </r>
    <r>
      <rPr>
        <rFont val="Calibri"/>
        <color theme="1"/>
        <sz val="11.0"/>
      </rPr>
      <t xml:space="preserve"> </t>
    </r>
  </si>
  <si>
    <t>CertiBlock: Decentralized Blockchain Framework for tamper-resistant Certificate Issuance and Real-Time Verification</t>
  </si>
  <si>
    <t>Shabana Sultana, Kavya D, Samiksha,shruthi sharma</t>
  </si>
  <si>
    <t>Kavya D</t>
  </si>
  <si>
    <t>IEEE International Conference On Emerging Trends in Information, Communication &amp; Systems
[ICETICS 2026] IEEE Xplore</t>
  </si>
  <si>
    <t>MindConnect: AI-Powered Mental Health Disorder Prediction Using Optimized Naive Bayes Classification with Real-Time Web Interface</t>
  </si>
  <si>
    <t>Nikhitha A, Dr.Annapurna V.K</t>
  </si>
  <si>
    <t>Nikitha A</t>
  </si>
  <si>
    <t>2nd international conference on Intelligent systems and computational networks,   ICISCN 2026, aPRIL 24TH TO 26TH  IEEE CONFERENCE</t>
  </si>
  <si>
    <t>BERT-Enhanced Ethical Moderation Framework: Real Time Content Generation and Toxicity Detection for Social Platforms</t>
  </si>
  <si>
    <t>Shabana Sultana, Harshitha H S</t>
  </si>
  <si>
    <t>Harshitha H S</t>
  </si>
  <si>
    <t>EISENSTEIN SERIES AND INCOMPLETE ELLIPTIC INTEGRAL IDENTITIES OF LEVEL 12</t>
  </si>
  <si>
    <t>E. N. BHUVAN, SHIVARAJKUMAR, AND T. N. VEERANAYAKA</t>
  </si>
  <si>
    <t>E N Bhuvan</t>
  </si>
  <si>
    <t>PLANARITY OF GRAPH OF A LATTICE WITH RESPECT TO AN IDEAL: A CHARACTERIZATION</t>
  </si>
  <si>
    <t>Bulletin of the Malaysian Mathematical Sciences Society</t>
  </si>
  <si>
    <t>Gracefulness of disjoint union of unicycles</t>
  </si>
  <si>
    <t>Santhosh Kumar, Shivarajkumar</t>
  </si>
  <si>
    <t>Shivarajkumar</t>
  </si>
  <si>
    <t>14/02/2026</t>
  </si>
  <si>
    <t>Afrika Mathematica</t>
  </si>
  <si>
    <t>Proof of (K,1) complete mapping for cyclic groups</t>
  </si>
  <si>
    <t>Swathi D N, Shivarajkumar</t>
  </si>
  <si>
    <t>Journal of Discrete Mathematical Sciences &amp; Cryptography</t>
  </si>
  <si>
    <t>Empirical relationship to estimate the fire exposure temperature and concrete strength in reinforced concrete beams by non-destructive techniques</t>
  </si>
  <si>
    <t>Sachin V, Renu P Sulakhe, N Suresh, Vijay Krishna Kotaphathi</t>
  </si>
  <si>
    <t>Sachin V</t>
  </si>
  <si>
    <t>24/03/2026</t>
  </si>
  <si>
    <t>Conference on Structural Engineering Convention - Volume 1 | SEC-2026 | IIT-H</t>
  </si>
  <si>
    <t>AI-Powered Smart Fuel Level Indicator and Prediction
of Mileage for Two-Wheelers</t>
  </si>
  <si>
    <t>K. S. Babu, C. Nagaraju*, Gavi Siddappaand M. K. Vishwanath</t>
  </si>
  <si>
    <t>M. K. Vishwanath</t>
  </si>
  <si>
    <t>A Comprehensive Review of Machine Learning-Based Intrusion Detection Systems in
Cybersecurity</t>
  </si>
  <si>
    <t>Sharmila D, Pradeep Kumar K, Vishwanath M K, Saurabh Suman</t>
  </si>
  <si>
    <t>Adaptive Trust-Aware Privacy-Preserving Federated Learning for IOT Data Analytics</t>
  </si>
  <si>
    <t>3rd International Conference on wireless Communication and Inernet of Everything(ICWCIE-2026)IEEE</t>
  </si>
  <si>
    <t>Ischemic Event Detection from Clinical Diagnosis of Diabetic-Cardiac Victims Through GAN</t>
  </si>
  <si>
    <t>Sathyashree C D, Dr. K R Sumana</t>
  </si>
  <si>
    <t>Sathyashree C D</t>
  </si>
  <si>
    <t>23/08/2025</t>
  </si>
  <si>
    <t>Journal of Emerging Technologies and Innovative Research</t>
  </si>
  <si>
    <t>Mandara  R</t>
  </si>
  <si>
    <t>Diksha S</t>
  </si>
  <si>
    <t>25/08/2025</t>
  </si>
  <si>
    <t>https://link.springer.com/article/10.1007/s40033-023-00529-z</t>
  </si>
  <si>
    <t>Experimental Analysis on the Impact Behaviour of Graphite-Filled Glass Fibre Reinforced Epoxy Composites Subjected to Sea Water Ageing and Notch Depth</t>
  </si>
  <si>
    <r>
      <rPr>
        <rFont val="Calibri"/>
        <color theme="1"/>
        <sz val="11.0"/>
      </rPr>
      <t xml:space="preserve">S. Chethan, B. R. Hemanth, Hemaraju, </t>
    </r>
    <r>
      <rPr>
        <rFont val="Calibri"/>
        <b/>
        <color theme="1"/>
        <sz val="11.0"/>
      </rPr>
      <t>M. Jayashree</t>
    </r>
    <r>
      <rPr>
        <rFont val="Calibri"/>
        <color theme="1"/>
        <sz val="11.0"/>
      </rPr>
      <t xml:space="preserve"> &amp; Santhosh Kumar </t>
    </r>
  </si>
  <si>
    <t>Hemaraju</t>
  </si>
  <si>
    <t xml:space="preserve">Journal of The Institution of Engineers (India): Series D </t>
  </si>
  <si>
    <t>Investigative studies on damage mechanics of base iron metals</t>
  </si>
  <si>
    <r>
      <rPr>
        <rFont val="Calibri"/>
        <color theme="1"/>
        <sz val="11.0"/>
      </rPr>
      <t xml:space="preserve">S. Chethan, S. Ravikumar, Hemaraju, </t>
    </r>
    <r>
      <rPr>
        <rFont val="Calibri"/>
        <b/>
        <color theme="1"/>
        <sz val="11.0"/>
      </rPr>
      <t>M. Jayashree</t>
    </r>
    <r>
      <rPr>
        <rFont val="Calibri"/>
        <color theme="1"/>
        <sz val="11.0"/>
      </rPr>
      <t>, Kumar T C Santhosh</t>
    </r>
  </si>
  <si>
    <t>Challenges and Opportunities in Industrial and Mechanical Engineering: A Progressive Research Outlook</t>
  </si>
  <si>
    <t>https://www.taylorfrancis.com/chapters/edit/10.1201/9781032713229-42/investigative-studies-damage-mechanics-base-iron-metals-chethan-ravikumar-hemaraju-jayashree-kumar-santhosh</t>
  </si>
  <si>
    <t>All-Conversion-in-One Converter for EVs and Renewable Energy Applications</t>
  </si>
  <si>
    <r>
      <rPr>
        <rFont val="Calibri"/>
        <color theme="1"/>
        <sz val="11.0"/>
      </rPr>
      <t xml:space="preserve">Swathi.K, </t>
    </r>
    <r>
      <rPr>
        <rFont val="Calibri"/>
        <b/>
        <color theme="1"/>
        <sz val="11.0"/>
      </rPr>
      <t>Jayashree M</t>
    </r>
    <r>
      <rPr>
        <rFont val="Calibri"/>
        <color theme="1"/>
        <sz val="11.0"/>
      </rPr>
      <t xml:space="preserve">, Manikannan K, Nadeem Pasha K, Hemanth B R, Raveendra R S </t>
    </r>
  </si>
  <si>
    <t>Swathi.K</t>
  </si>
  <si>
    <t>International Conference on Intelligent Computing and Control Systems (ICICCS) 2026</t>
  </si>
  <si>
    <t>High-Voltage Cable Insulation Electrical Tree Degredation: Developments And Issues</t>
  </si>
  <si>
    <r>
      <rPr>
        <rFont val="Calibri"/>
        <b/>
        <color theme="1"/>
        <sz val="11.0"/>
      </rPr>
      <t>Jayashree M</t>
    </r>
    <r>
      <rPr>
        <rFont val="Calibri"/>
        <color theme="1"/>
        <sz val="11.0"/>
      </rPr>
      <t>, Paresh Kumar, Pradeep Kumar Verma, A. Amudha, P. Gajendran, Y. K. Sharma</t>
    </r>
  </si>
  <si>
    <t xml:space="preserve"> 6th International Conference on Contemporary Computing and Informatics (IC3I)</t>
  </si>
  <si>
    <t xml:space="preserve">https://ieeexplore.ieee.org/document/10397814
</t>
  </si>
  <si>
    <t>UPI Fraud Detection using Machine Learning</t>
  </si>
  <si>
    <t>13th International Conference on contemporary Engineering and Technology(ICCET-2025)IEEE</t>
  </si>
  <si>
    <t>Self-Improved LeNet and Modified SegNet for Alzheimer’s Disease Classification using MRI</t>
  </si>
  <si>
    <r>
      <rPr>
        <rFont val="Calibri"/>
        <color theme="1"/>
        <sz val="11.0"/>
      </rPr>
      <t xml:space="preserve">Rajasree R S, Gopika  G S, Supriya S, Archana P, </t>
    </r>
    <r>
      <rPr>
        <rFont val="Calibri"/>
        <b/>
        <color theme="1"/>
        <sz val="11.0"/>
      </rPr>
      <t>Ashok K</t>
    </r>
  </si>
  <si>
    <t>International Journal of Neuroscienc</t>
  </si>
  <si>
    <t>https://doi.org/10.1080/00207454.2026.2644529</t>
  </si>
  <si>
    <t>S. Poornima, V. L. Yashaswini, B. S. Madhukar, M. A. Sangamesha</t>
  </si>
  <si>
    <t>sangamesha M A</t>
  </si>
  <si>
    <t>Polymer Bulletin</t>
  </si>
  <si>
    <t>Multi-walled Carbon Nanotube Integrated Iron–Copper Metal Organic Framework Mesoporous Composite as an Efficient Bifunctional Electrocatalyst for Water Splitting Reaction</t>
  </si>
  <si>
    <t>Deepak Raj, Shivaswamy, Kavyashree, Sanjana, Mukunda Murthy, Sangamesha &amp; Nagendra Prasad</t>
  </si>
  <si>
    <t>J Inorg Organomet Polym</t>
  </si>
  <si>
    <t>Design of Intelligent Harmonic Filter in Grid Connected System</t>
  </si>
  <si>
    <t xml:space="preserve">Smrithi Vijayan </t>
  </si>
  <si>
    <t xml:space="preserve">Electric Power System Research </t>
  </si>
  <si>
    <t>Effect of stiffeners on the behaviour of cylindrical panels made of jute fiber/epoxy laminates subjected to in-plane loading</t>
  </si>
  <si>
    <t xml:space="preserve">R Vijay Kumar Nayak and Vasanth keshav </t>
  </si>
  <si>
    <t>16/09/2025</t>
  </si>
  <si>
    <t>Iranian Journal of Science and Technology</t>
  </si>
  <si>
    <t>Behaviour of Concrete-Filled PVC Tubes Incorporating Recycled Aggregates: Experimental and Numerical Investigation</t>
  </si>
  <si>
    <t>Bilal Mohammed Mahmood, Vasanth Keshav</t>
  </si>
  <si>
    <t>22/09/2025</t>
  </si>
  <si>
    <t>Effect of compression on masonry unit with incorporation of jute fibres using recycled aggregates</t>
  </si>
  <si>
    <t>Rahul SR, Vasanth Keshav</t>
  </si>
  <si>
    <t>Electrohydrodynamic stability of poorly conducting homogeneous fluid saturated porous layer in the presence of combined transverse electric and magnetic fields</t>
  </si>
  <si>
    <t>Shubha Nagaraj</t>
  </si>
  <si>
    <t>13/08/2024</t>
  </si>
  <si>
    <t>24/07/2025</t>
  </si>
  <si>
    <t>18/12/2025</t>
  </si>
  <si>
    <t>IOSR Journal of Computer engineering</t>
  </si>
  <si>
    <t>Governing dynamics for a mulit-hop network under noisy conditions – An analogy to charged particle moving through a fluid under coriolis force</t>
  </si>
  <si>
    <t>Shruthi R, Shashidhara H R, Priyanka M P, Nikitha H S, MBNishanth Aiyappa</t>
  </si>
  <si>
    <t>IEEE International Conference on Emerging Technologies in Electronics and Green Energy (ICETEG 2025)</t>
  </si>
  <si>
    <t>Adaptability and Performance of WiNoC across Different Mesh Sizes</t>
  </si>
  <si>
    <t>Shruthi R, Shashidhara H R</t>
  </si>
  <si>
    <t>29/03/2025</t>
  </si>
  <si>
    <t>Performance Analysis of Hybrid NoC Architecture for Realistic Multimedia Traffic Patterns</t>
  </si>
  <si>
    <t>Shruthi R, Shashidhara H R, Mourya P, Nikitha H S, MBNishanth Aiyappa</t>
  </si>
  <si>
    <t>20/02/2026</t>
  </si>
  <si>
    <t>A Token-Based Selective Disclosure Framework for Privacy-Preserving Credential Verification using IPFS</t>
  </si>
  <si>
    <t>D sathwik, Chinnaswamy C N</t>
  </si>
  <si>
    <t>12.1.2026</t>
  </si>
  <si>
    <t>19.2.2026</t>
  </si>
  <si>
    <t>International Conference on Computer Vision, Image Processing and Deep Learning- CIDL2026.</t>
  </si>
  <si>
    <t>ML Based Network Intrusion Detection System</t>
  </si>
  <si>
    <t>Chinnaswamy C N, Priyanka S N</t>
  </si>
  <si>
    <t>1.2.2026</t>
  </si>
  <si>
    <t>International Conference on Computational Innovations and Emerging Trends</t>
  </si>
  <si>
    <t>Influence of Copper Dopant Concentration on the Photoluminescence Properties and Photocatalytic Activity of Nanostructured ZnMn2O4</t>
  </si>
  <si>
    <t>Darshan, pooja kr, nagaraju g, mallikarjunawamy c</t>
  </si>
  <si>
    <t>Nagaraju G</t>
  </si>
  <si>
    <t>30/3/2026</t>
  </si>
  <si>
    <t>Karthik G,Mahesh Lohith K S, Sunil Kumar K C, Nagaraju G, Avinash K, Harshitha H S, Pooja K R, Lakshmi Ranganatha V, Mallikarjunaswamy C</t>
  </si>
  <si>
    <t>Mahesh Lohith K S</t>
  </si>
  <si>
    <t>15/3/2026</t>
  </si>
  <si>
    <t>Nanoengineered silver doped copper cobalt sulphide nanosheets for ultrasensitive electrochemical detection of Hg2+ in real water samples</t>
  </si>
  <si>
    <t>Murudagalli Basavaraju Shivaswamy; Konanuru Narashimhamurthy Mukunda Murthy; Nagarajappa Vidya; Madanahalli Ankanathappa Sangamesha; Harikaranahalli Puttaiah Shivaraju; Mallikarjunaswamy Chandrashekaraiah</t>
  </si>
  <si>
    <t>Nagendra Prasad</t>
  </si>
  <si>
    <t>20/3/2026</t>
  </si>
  <si>
    <t>Evaluating the Efficacy of Machine Learning Models in Bearing Fault Classification</t>
  </si>
  <si>
    <t>Prasanta Kumar Samal, Manjunatha, H.J., Srinidhi, R., Jamadar, I.M.</t>
  </si>
  <si>
    <t>24/11/2025</t>
  </si>
  <si>
    <t>Lecture notes of Electrical Engineering</t>
  </si>
  <si>
    <t>https://doi.org/10.1007/978-981-95-2901-8_18</t>
  </si>
  <si>
    <t>Nanoelectronic Perspectives on Low-Power Field-Programmable Gate Array Architectures for Autonomous Aerial Systems</t>
  </si>
  <si>
    <t>Jyoti P. Patra, Yajunath Kaliyath, Vella Satyanarayana , Syed Inthiyaz ,Md.Najumunnisa
R L Krupakaran</t>
  </si>
  <si>
    <t>yajunath kaliyath</t>
  </si>
  <si>
    <t>21/01/2026</t>
  </si>
  <si>
    <t>15/04/26</t>
  </si>
  <si>
    <t>JOURNAL OF NANO- AND ELECTRONIC PHYSICS</t>
  </si>
  <si>
    <t>AI Based Soil Health Monitoring System on Cloud</t>
  </si>
  <si>
    <t>Swathi Suresh, Yajunath Kaliyath</t>
  </si>
  <si>
    <t>Yajunath kaliyath</t>
  </si>
  <si>
    <t>AI Based Soil Health Monitoring System on Cloud-- A Review Pape</t>
  </si>
  <si>
    <t>Investigation of Dimensional Stability of 3D Printed Polymer Composite Using Laser Scanning Method</t>
  </si>
  <si>
    <t>Sriraksha,K.R.Prakash,anAND.a</t>
  </si>
  <si>
    <t>Anand.A</t>
  </si>
  <si>
    <t>20/03/2026</t>
  </si>
  <si>
    <t>Techno-economic analysis of Hybrid Floating Solar Photovoltaic and Hydropower Plant</t>
  </si>
  <si>
    <t>Hemalatha S, Rohit K Mathew and Ashok S.</t>
  </si>
  <si>
    <t>30/09/24</t>
  </si>
  <si>
    <t>14/03/2026</t>
  </si>
  <si>
    <t>In press for publication/ Proof reading completed</t>
  </si>
  <si>
    <t>Floating Solar PV, Techno Economic Modeling, Land use savings</t>
  </si>
  <si>
    <t xml:space="preserve">AI Powered carrier guidance and recommendation system </t>
  </si>
  <si>
    <t>pramod C, poojashree S</t>
  </si>
  <si>
    <t xml:space="preserve">Poojashree S </t>
  </si>
  <si>
    <t xml:space="preserve">International advanced research journal in science, Engineering and Technology </t>
  </si>
  <si>
    <t>10.17148/IARJSET.2026.13153</t>
  </si>
  <si>
    <r>
      <rPr>
        <color rgb="FF1155CC"/>
        <u/>
      </rPr>
      <t>An experimental study on two-body dry sliding wear characteristics of rice straw particle filled polylactic acid composites</t>
    </r>
  </si>
  <si>
    <t>Santosh Kumar, Aravindrao M Yadwad, Basavaraj S Talikoti, Manjunath Maiya, Shivaramakrishna, Ravikumar Beeranu, Nagaraj Malleshappa Pujar</t>
  </si>
  <si>
    <t>santosh kumar</t>
  </si>
  <si>
    <t>Materials Research Express</t>
  </si>
  <si>
    <t>yes</t>
  </si>
  <si>
    <t>https://doi.org/10.1088/2053-1591/ae1889</t>
  </si>
  <si>
    <t>IOT-Based Smart Irrigation System with Real-
Time Monitoring and Integrated Weather
Forecast</t>
  </si>
  <si>
    <t>Nikhil S P, Nidhi Hebbar</t>
  </si>
  <si>
    <t xml:space="preserve">Nidhi Hebbar </t>
  </si>
  <si>
    <t>International Advanced Research Journal in
Science, Engineering and Technology</t>
  </si>
  <si>
    <t>10.17148/IARJSET.2026.13139</t>
  </si>
  <si>
    <t xml:space="preserve">Robust and Secure IoT Architecture for Machine Learning Based drug Administration in Remote Health care </t>
  </si>
  <si>
    <t xml:space="preserve">Dr. Suhas S , Lokesh S, Pradeep Kumar H S, </t>
  </si>
  <si>
    <t xml:space="preserve">Dr. Suhas </t>
  </si>
  <si>
    <t xml:space="preserve">Published </t>
  </si>
  <si>
    <t>30/08/2025</t>
  </si>
  <si>
    <t xml:space="preserve">International Journal of
Drug Delivery Technology
</t>
  </si>
  <si>
    <t>Deep Learning Based Power Consumption Optimization in Software Defined Vehicular Networks</t>
  </si>
  <si>
    <t>Varun P. Sarvade, Shrirang Ambaji Kulkarni and C. Vidya Raj</t>
  </si>
  <si>
    <t>Varun P. Sarvade</t>
  </si>
  <si>
    <t>Journal of The Institution of Engineers (India): Series B, Springer</t>
  </si>
  <si>
    <t xml:space="preserve">A unified Mathematical and machine learning framework for immune system response prediction </t>
  </si>
  <si>
    <t>Pradeep Kumar H S, Dr. Harsha S</t>
  </si>
  <si>
    <t>A Hybrid Classical-Quantum Neural Network Model for DDoS Attack Detection in Software-Defined Vehicular Networks.</t>
  </si>
  <si>
    <t>Shrirang Ambaji Kulkarni</t>
  </si>
  <si>
    <t>18/06/2025</t>
  </si>
  <si>
    <t>Information, MDPI</t>
  </si>
  <si>
    <t>Hybrid Ensemble learning framework for automated ECG- Based cardiovascular disease detection</t>
  </si>
  <si>
    <t>Dr Vidya Raj C, Sujith C S</t>
  </si>
  <si>
    <t>Sujith C S</t>
  </si>
  <si>
    <t>20/08/2025</t>
  </si>
  <si>
    <t>International conference on artificial intelligence in Engineering systems (ICAIES 2025)</t>
  </si>
  <si>
    <t>SONAXI BHAGAWAN RAIKAR, Sahana Jain M P, Nandini Kodihalli, Rajeshwari B Umadi</t>
  </si>
  <si>
    <t>SONAXI BHAGAWAN RAIKAR,</t>
  </si>
  <si>
    <t>Journal of The Institution of Engineers (India): Series B</t>
  </si>
  <si>
    <t>A Review on Distributed Control of Voltage and
Frequency in Microgrids</t>
  </si>
  <si>
    <t>Rajeshwari B Umadi, Dr. Likith Kumar M V</t>
  </si>
  <si>
    <t>Rajeshwari B Umadi</t>
  </si>
  <si>
    <t>Real-Time C-HIL Implementation of an Acceleration-Aware Fuzzy Controller for Battery-Supercapacitor Energy Management</t>
  </si>
  <si>
    <t>Sonaxi Bhagawan Raikar, Dr Pandurang Vittal , Naveen Ram</t>
  </si>
  <si>
    <t>A Two-Level Adaptive Frequency Filtering Strategy for EV HESS Integrating Driver Acceleration Intent and Supercapacitor Constraints via Forward Dynamic Programming</t>
  </si>
  <si>
    <r>
      <rPr>
        <color rgb="FF1155CC"/>
        <u/>
      </rPr>
      <t>An Experimental Investigation on Mechanical and Two Body Abrasive Wear Characteristics of Lignocellulosic Fiber Reinforced Polylactic Acid Sustainable Composites.</t>
    </r>
  </si>
  <si>
    <t>Nagaraj Malleshappa Pujar, Santosh Kumar, Kuntanahal Rajashekhara, Manjunath Yadav, DC Madaiah, J Dharanish, N Sharath Chandra</t>
  </si>
  <si>
    <t>Journal of Mines, Metals &amp; Fuels</t>
  </si>
  <si>
    <r>
      <rPr>
        <color rgb="FF1155CC"/>
        <u/>
      </rPr>
      <t>Fault Diagnosis of Shaft Misalignment for Rotating Machinery using Artificial Neural Network.</t>
    </r>
  </si>
  <si>
    <t>BK Pavan Kumar, N Keerthi Kumar, SN Divya, M Lokesh, K Shekar, Santosh Kumar, S Manjunath Yadav</t>
  </si>
  <si>
    <t>Coefficient Estimates for Analytic Functions Subordinate to the Four-Leaf Domain</t>
  </si>
  <si>
    <t>N. S. Tejas, D. S. Raju, N. Magesh and D. S. Raja</t>
  </si>
  <si>
    <t>18/9/2025</t>
  </si>
  <si>
    <t xml:space="preserve">Turk. J. Math. Comput. Sci. </t>
  </si>
  <si>
    <r>
      <rPr>
        <color rgb="FF1155CC"/>
        <u/>
      </rPr>
      <t>Mechanical characterization of alumina and graphite dual particulates reinforced hybrid aluminum alloy (Al2219) matrix composites</t>
    </r>
  </si>
  <si>
    <t>S ShivaPrakash, S Kumar, KBK Naveen, N Madeva, N Marakal, V Auardi, TH Manjunatha</t>
  </si>
  <si>
    <t>Research on Engineering. Structural and Materials</t>
  </si>
  <si>
    <t>http://dx.doi.org/10.17515/resm2024.328me0621rs</t>
  </si>
  <si>
    <t>Fourth Hankel and Toeplitz Determinants of Symmetric Starlike Functions connected with Gregory Coefficients</t>
  </si>
  <si>
    <t>N. S. Tejas, N. Magesh and D. S. Raju</t>
  </si>
  <si>
    <t>Journal of Classical Analysis</t>
  </si>
  <si>
    <t>Fekete–Szegö Estimate for Bi-Bazilevič and Bi-Pseudo-Starlike Type Functions Associated with the Generalized Bivariate Fibonacci Polynomial</t>
  </si>
  <si>
    <t>N. S. Tejas and D. S. Raju</t>
  </si>
  <si>
    <t>18/3/2025</t>
  </si>
  <si>
    <t>31/12/2025</t>
  </si>
  <si>
    <t>Applied Research in Engineering research</t>
  </si>
  <si>
    <r>
      <rPr>
        <color rgb="FF1155CC"/>
        <u/>
      </rPr>
      <t>Influence of Silicon Carbide on the Glass Transition Temperature of Glass Fiber Reinforced Epoxy Matrix Composites: A DSC Investigation.</t>
    </r>
  </si>
  <si>
    <t>HN Divakar, KS Keerthiprasad, KC Mohanakumara, M Rakesh, Naveed Anjum, B Sandeep</t>
  </si>
  <si>
    <t>sandeep B</t>
  </si>
  <si>
    <r>
      <rPr>
        <color rgb="FF1155CC"/>
        <u/>
      </rPr>
      <t>Thermo-Mechanical Properties of Synthetic Fibres Filled with Ceramic Filler Reinforced Epoxy Hybrid Composites.</t>
    </r>
  </si>
  <si>
    <t>B Sandeep, HN Divakar, KS Keerthiprasad</t>
  </si>
  <si>
    <r>
      <rPr>
        <color rgb="FF1155CC"/>
        <u/>
      </rPr>
      <t>The Effect of Ceramic Additives on the Mechanical Behavior of Carbon or Epoxy Composites.</t>
    </r>
  </si>
  <si>
    <t>Tailoring Toughness of Pineapple Leaf Fiber-Reinforced Epoxy Composites Using Halloysite Nanotubes</t>
  </si>
  <si>
    <r>
      <rPr>
        <rFont val="Calibri"/>
        <color theme="1"/>
      </rPr>
      <t xml:space="preserve">Krishna, Hema H, Amoghavarsha , Bharath P B , </t>
    </r>
    <r>
      <rPr>
        <rFont val="Calibri"/>
        <b/>
        <color theme="1"/>
      </rPr>
      <t>Suresha B</t>
    </r>
  </si>
  <si>
    <t>Suresha B</t>
  </si>
  <si>
    <t>Journal of Polymer &amp; Composites</t>
  </si>
  <si>
    <t xml:space="preserve"> 10.37591/JoPC</t>
  </si>
  <si>
    <t>Dual nanofiller strategy for enhanced mechanical properties in carbon fiber reinforced polyamide blends</t>
  </si>
  <si>
    <r>
      <rPr>
        <rFont val="Calibri"/>
        <color theme="1"/>
        <sz val="11.0"/>
      </rPr>
      <t xml:space="preserve">Sathyanarayana Srinivas, Hattinaik Hema, Devalapura Chikkakalaiah Madaiah,Rajashekaraiah Hemanth, </t>
    </r>
    <r>
      <rPr>
        <rFont val="Calibri"/>
        <b/>
        <color theme="1"/>
        <sz val="11.0"/>
      </rPr>
      <t>Bheemappa Suresha</t>
    </r>
    <r>
      <rPr>
        <rFont val="Calibri"/>
        <color theme="1"/>
        <sz val="11.0"/>
      </rPr>
      <t>, Irulappasamy Siva, Sharul Sham Dol,Kamarul Arifin Ahmad and Mohamed Thariq Hameed Sultan</t>
    </r>
  </si>
  <si>
    <t>30/09/2025</t>
  </si>
  <si>
    <t>Improvement of Peralta's bound</t>
  </si>
  <si>
    <t>Vrikshavardhana Hebbar N, Shivarajkumar, Srikanth Cherukapally</t>
  </si>
  <si>
    <t>23/07/2025</t>
  </si>
  <si>
    <t>wine quality prediction using machine learning</t>
  </si>
  <si>
    <t>Vaishnavi,Bhavya Shree H M</t>
  </si>
  <si>
    <t>Bhavya SHree  H M</t>
  </si>
  <si>
    <t>Assistant Proffesor</t>
  </si>
  <si>
    <t>P Ganavi, VN Jayasankar</t>
  </si>
  <si>
    <t>Jayasankar V N</t>
  </si>
  <si>
    <t>16/10/2024</t>
  </si>
  <si>
    <t>Vehicle Detection and Counting with Yolov5 and Deep SORT</t>
  </si>
  <si>
    <t>Vedashree R, Prathibha B S</t>
  </si>
  <si>
    <t>Intelligent Control, Robotics, and Industrial Automation: Proceedings of International Conference, RCAAI 2023</t>
  </si>
  <si>
    <t>https://doi.org/10.1007/978-981-97-4650-7_14</t>
  </si>
  <si>
    <t>Hinweis Fourth International Conference on Advances in Software Engineering and Information Technology (ASIT) - 2025</t>
  </si>
  <si>
    <t>Academic Log Portal: Student Management System</t>
  </si>
  <si>
    <t>Prajakta M</t>
  </si>
  <si>
    <t>Mohammad Zabi</t>
  </si>
  <si>
    <t>Design and Implementation of a Failure Point 
Debugging Tool for Effective RCA of an Enterprise Storage</t>
  </si>
  <si>
    <t xml:space="preserve">Shefali </t>
  </si>
  <si>
    <t xml:space="preserve">International Journal of Research in Engineering, Science and Management </t>
  </si>
  <si>
    <t>Single-Horizon Predictive Control for DC-Link Voltage Regulation in Active Battery–Supercapacitor Hybrid Energy Storage Systems</t>
  </si>
  <si>
    <t xml:space="preserve">Sonaxi Bhagawan Raikar, Naveen Ram C G,  Dr Pandurang Vittal , </t>
  </si>
  <si>
    <t>SEFET-2026</t>
  </si>
  <si>
    <t>Comparison of the Embodied Energy of Traditional Lime Mortar and Modern Cement-Based Mortars</t>
  </si>
  <si>
    <t>K. Gourav, S. Jahnavi, R. Manjula, H. Lahari, S. Dhanalakshmi,
and A. Mahanthesh</t>
  </si>
  <si>
    <t>K. Gourav</t>
  </si>
  <si>
    <t>27/10/2025</t>
  </si>
  <si>
    <t>International Conference on Sustainable Infrastructure: Innovation, Opportunities and  challenges Conference proceedings info: SIIOC 2024.</t>
  </si>
  <si>
    <t>https://doi.org/10.1007/978-981-96-7971-3_4</t>
  </si>
  <si>
    <t>Evaluation of Gabion Wall Behavior under Lateral Loading with Varying Infill and Mesh Parameters for Road Infrastructures</t>
  </si>
  <si>
    <t>Rohith Jain, G. S. Suresh, Kiran K. Shetty,K. Gourav, Abhilash Kumar K. A., M. G. Girish</t>
  </si>
  <si>
    <t>Kiran K. Shetty</t>
  </si>
  <si>
    <t>22/03/2026</t>
  </si>
  <si>
    <t>Civil Engineering and Architecture</t>
  </si>
  <si>
    <r>
      <rPr>
        <rFont val="Calibri"/>
        <color rgb="FF1155CC"/>
        <sz val="11.0"/>
        <u/>
      </rPr>
      <t>https://doi.org/10.13189/cea.2026.140243</t>
    </r>
    <r>
      <rPr>
        <rFont val="Calibri"/>
        <color theme="1"/>
        <sz val="11.0"/>
      </rPr>
      <t xml:space="preserve"> </t>
    </r>
  </si>
  <si>
    <t>NIE Publication Status Tracker — User Guide</t>
  </si>
  <si>
    <t>PURPOSE</t>
  </si>
  <si>
    <t>Track all NIE faculty research publications. Supports pipeline monitoring and NIRF ranking strategy.</t>
  </si>
  <si>
    <t>BLUE COLUMNS</t>
  </si>
  <si>
    <t>Existing fields, cleaned and standardised from the original tracker.</t>
  </si>
  <si>
    <t>RED COLUMNS</t>
  </si>
  <si>
    <t>HIGH PRIORITY new fields for NIRF quality score: Journal Name, Impact Factor, DOI, Citation Count.</t>
  </si>
  <si>
    <t>GREEN COLUMNS</t>
  </si>
  <si>
    <t>New planning, collaboration, and funding fields. Fill progressively as information is available.</t>
  </si>
  <si>
    <t>DEPARTMENT</t>
  </si>
  <si>
    <t>Use standard codes only: CSE, ISE, ECE, MECH, CIVIL, EEE, MCA, MATHS, PHY, CHEM. Dropdown enforced.</t>
  </si>
  <si>
    <t>SCOPUS QUARTILE</t>
  </si>
  <si>
    <t>Now a separate column. Select Q1/Q2/Q3/Q4/Unspecified/Not Scopus from dropdown.</t>
  </si>
  <si>
    <t>WEB OF SCIENCE</t>
  </si>
  <si>
    <t>Select Yes or No. SCI, SCIE, and ESCI all qualify as Yes.</t>
  </si>
  <si>
    <t>IMPACT FACTOR</t>
  </si>
  <si>
    <t>Enter the journal IF at time of submission. Use 3 decimal places (e.g., 4.521).</t>
  </si>
  <si>
    <t>CITATION COUNT</t>
  </si>
  <si>
    <t>Update annually before NIRF submission. Log the date in Citation Updated On column.</t>
  </si>
  <si>
    <t>ELAPSED DAYS</t>
  </si>
  <si>
    <t>Auto-calculated from Start Date to Acceptance Date. Do not edit manually.</t>
  </si>
  <si>
    <t>V</t>
  </si>
  <si>
    <t>ANALYTICS TAB</t>
  </si>
  <si>
    <t>Auto-updating summaries by status, Scopus quartile, and department. Do not edit directly.</t>
  </si>
  <si>
    <t>DATA ENTRY TIP</t>
  </si>
  <si>
    <t>Use the dropdown menus wherever available to maintain consistency for Analytics.</t>
  </si>
  <si>
    <t xml:space="preserve">  NIE RESEARCH PUBLICATION DASHBOARD</t>
  </si>
  <si>
    <t>Dept</t>
  </si>
  <si>
    <t>Fac#</t>
  </si>
  <si>
    <t>TOTAL PUBLISHED</t>
  </si>
  <si>
    <t>IN PIPELINE</t>
  </si>
  <si>
    <t>PUBLICATIONS / FACULTY</t>
  </si>
  <si>
    <t>Q1 + Q2 PAPERS</t>
  </si>
  <si>
    <t>papers across NIE</t>
  </si>
  <si>
    <t>accepted + under review + submitted</t>
  </si>
  <si>
    <t>vs target of 3.00 per year</t>
  </si>
  <si>
    <t>high-quality indexed papers</t>
  </si>
  <si>
    <t xml:space="preserve">  ▶  PUBLICATION PIPELINE</t>
  </si>
  <si>
    <t xml:space="preserve">  ▶  QUALITY MIX</t>
  </si>
  <si>
    <t xml:space="preserve">  ▶  PUBLICATION TYPE</t>
  </si>
  <si>
    <t xml:space="preserve">  ▶  CAMPUS SPLIT</t>
  </si>
  <si>
    <t>Draft / WIP</t>
  </si>
  <si>
    <t>Q1 (Scopus)</t>
  </si>
  <si>
    <t>South Campus</t>
  </si>
  <si>
    <t>Q2 (Scopus)</t>
  </si>
  <si>
    <t>North Campus</t>
  </si>
  <si>
    <t>Q3 (Scopus)</t>
  </si>
  <si>
    <t>Revision Reqd</t>
  </si>
  <si>
    <t>Q4 (Scopus)</t>
  </si>
  <si>
    <t>WoS (SCI/SCIE)</t>
  </si>
  <si>
    <t>Other</t>
  </si>
  <si>
    <t>TOTAL</t>
  </si>
  <si>
    <t>100%</t>
  </si>
  <si>
    <t xml:space="preserve">  ▶  DEPARTMENT TARGET SCORECARD  (Target: D4 publications per faculty per year)</t>
  </si>
  <si>
    <t>Faculty</t>
  </si>
  <si>
    <t>Target</t>
  </si>
  <si>
    <t>Pipeline</t>
  </si>
  <si>
    <t>Rate</t>
  </si>
  <si>
    <t>Gap</t>
  </si>
  <si>
    <t>Q1+Q2</t>
  </si>
  <si>
    <t>Q1+Q2%</t>
  </si>
  <si>
    <t>Draft/WIP</t>
  </si>
  <si>
    <t>Progress %</t>
  </si>
  <si>
    <t>TOTAL / AVG</t>
  </si>
  <si>
    <t xml:space="preserve">  ▶  CHARTS — DEPARTMENT PERFORMANCE</t>
  </si>
  <si>
    <t xml:space="preserve">  ▶  QUALITY TRACKER — SCOPUS QUARTILE BY DEPARTMENT</t>
  </si>
  <si>
    <t>Total
Papers</t>
  </si>
  <si>
    <t>WoS
SCI/SCIE</t>
  </si>
  <si>
    <t>Notes: • Target is set in cell D4 (currently 3 publications/faculty/year)  •  Pipeline = Accepted + Under Review + Submitted + Revision Required  •  Data auto-updates from Publication Status Tracker sheet  •  Q1+Q2 % based on published papers only</t>
  </si>
  <si>
    <t>Professors</t>
  </si>
  <si>
    <t>Assoc. Profs</t>
  </si>
  <si>
    <t>Asst. Profs</t>
  </si>
  <si>
    <t>On Contract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</si>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</sst>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0.000"/>
    <numFmt numFmtId="166" formatCode="mm/dd/yyyy"/>
    <numFmt numFmtId="167" formatCode="m/d/yyyy"/>
    <numFmt numFmtId="168" formatCode="m/d/yy"/>
    <numFmt numFmtId="169" formatCode="d&quot;/&quot;m&quot;/&quot;yy"/>
    <numFmt numFmtId="170" formatCode="mm-dd-yyyy"/>
    <numFmt numFmtId="171" formatCode="mm/dd"/>
    <numFmt numFmtId="172" formatCode="mm-dd-yy"/>
    <numFmt numFmtId="173" formatCode="yyyy/m/d"/>
    <numFmt numFmtId="174" formatCode="d mmmm yyyy"/>
    <numFmt numFmtId="175" formatCode="mmmm yyyy"/>
    <numFmt numFmtId="176" formatCode="0.0\%"/>
    <numFmt numFmtId="177" formatCode="0\%"/>
  </numFmts>
  <fonts count="116">
    <font>
      <sz val="11.0"/>
      <color theme="1"/>
      <name val="Calibri"/>
      <scheme val="minor"/>
    </font>
    <font>
      <sz val="10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Calibri"/>
      <scheme val="minor"/>
    </font>
    <font>
      <u/>
      <sz val="9.0"/>
      <color rgb="FF0000FF"/>
      <name val="Arial"/>
    </font>
    <font>
      <sz val="9.0"/>
      <color rgb="FF000000"/>
      <name val="RobotoSlabLocal"/>
    </font>
    <font>
      <sz val="13.0"/>
      <color rgb="FFAE444A"/>
      <name val="RobotoSlabLocal"/>
    </font>
    <font>
      <u/>
      <sz val="9.0"/>
      <color rgb="FF0000FF"/>
      <name val="Arial"/>
    </font>
    <font>
      <sz val="9.0"/>
      <color rgb="FF000000"/>
      <name val="Arial"/>
    </font>
    <font>
      <sz val="10.0"/>
      <color rgb="FF000000"/>
      <name val="Arial"/>
    </font>
    <font>
      <sz val="11.0"/>
      <color rgb="FF474747"/>
      <name val="Arial"/>
    </font>
    <font>
      <u/>
      <color rgb="FF0000FF"/>
    </font>
    <font>
      <sz val="10.0"/>
      <color theme="1"/>
      <name val="Calibri"/>
      <scheme val="minor"/>
    </font>
    <font>
      <sz val="11.0"/>
      <color rgb="FF2121FF"/>
      <name val="'Times New Roman'"/>
    </font>
    <font>
      <u/>
      <color rgb="FF000000"/>
    </font>
    <font>
      <u/>
      <sz val="9.0"/>
      <color rgb="FF0000FF"/>
      <name val="Arial"/>
    </font>
    <font>
      <sz val="11.0"/>
      <color theme="1"/>
      <name val="Calibri"/>
    </font>
    <font>
      <sz val="9.0"/>
      <color rgb="FF222222"/>
      <name val="Arial"/>
    </font>
    <font>
      <color rgb="FF000000"/>
      <name val="Calibri"/>
      <scheme val="minor"/>
    </font>
    <font>
      <color rgb="FF000000"/>
      <name val="Calibri"/>
    </font>
    <font>
      <sz val="12.0"/>
      <color rgb="FF222222"/>
      <name val="&quot;Merriweather Sans&quot;"/>
    </font>
    <font>
      <u/>
      <sz val="12.0"/>
      <color rgb="FF222222"/>
      <name val="&quot;Merriweather Sans&quot;"/>
    </font>
    <font>
      <u/>
      <color rgb="FF1F1F1F"/>
      <name val="ElsevierSans"/>
    </font>
    <font>
      <sz val="9.0"/>
      <color rgb="FF333333"/>
      <name val="Arial"/>
    </font>
    <font>
      <u/>
      <sz val="11.0"/>
      <color theme="1"/>
      <name val="Calibri"/>
    </font>
    <font>
      <sz val="11.0"/>
      <color rgb="FF333333"/>
      <name val="Calibri"/>
    </font>
    <font>
      <color rgb="FF222222"/>
      <name val="Calibri"/>
    </font>
    <font>
      <sz val="11.0"/>
      <color rgb="FF000000"/>
      <name val="'Times New Roman'"/>
    </font>
    <font>
      <u/>
      <color rgb="FF0000FF"/>
    </font>
    <font>
      <u/>
      <color rgb="FF0000FF"/>
    </font>
    <font>
      <color rgb="FF222222"/>
      <name val="Arial"/>
    </font>
    <font>
      <sz val="12.0"/>
      <color theme="1"/>
      <name val="&quot;Times New Roman&quot;"/>
    </font>
    <font>
      <sz val="12.0"/>
      <color rgb="FF000000"/>
      <name val="&quot;Times New Roman&quot;"/>
    </font>
    <font>
      <u/>
      <sz val="12.0"/>
      <color rgb="FF000000"/>
      <name val="&quot;Times New Roman&quot;"/>
    </font>
    <font>
      <sz val="12.0"/>
      <color rgb="FF222222"/>
      <name val="Calibri"/>
    </font>
    <font>
      <sz val="12.0"/>
      <color theme="1"/>
      <name val="Calibri"/>
    </font>
    <font>
      <sz val="10.0"/>
      <color theme="1"/>
      <name val="Arial"/>
    </font>
    <font>
      <u/>
      <sz val="11.0"/>
      <color rgb="FF0000FF"/>
      <name val="&quot;Calibri&quot;"/>
    </font>
    <font>
      <u/>
      <sz val="11.0"/>
      <color rgb="FF0000FF"/>
      <name val="Calibri"/>
    </font>
    <font>
      <u/>
      <sz val="11.0"/>
      <color theme="1"/>
      <name val="Calibri"/>
    </font>
    <font>
      <sz val="12.0"/>
      <color rgb="FF000000"/>
      <name val="Calibri"/>
    </font>
    <font>
      <u/>
      <color rgb="FF000000"/>
    </font>
    <font>
      <u/>
      <color rgb="FF0000FF"/>
    </font>
    <font>
      <sz val="14.0"/>
      <color rgb="FF222222"/>
      <name val="Arial"/>
    </font>
    <font>
      <b/>
      <sz val="11.0"/>
      <color rgb="FF333333"/>
      <name val="&quot;HelveticaNeue Regular&quot;"/>
    </font>
    <font>
      <color theme="1"/>
      <name val="Calibri"/>
    </font>
    <font>
      <sz val="12.0"/>
      <color theme="1"/>
      <name val="&quot;Calibri&quot;"/>
    </font>
    <font>
      <sz val="11.0"/>
      <color rgb="FF222222"/>
      <name val="Calibri"/>
    </font>
    <font>
      <color rgb="FF1F1F1F"/>
      <name val="ElsevierGulliver"/>
    </font>
    <font>
      <u/>
      <color rgb="FF0000FF"/>
      <name val="Arial"/>
    </font>
    <font>
      <sz val="10.0"/>
      <color rgb="FF000000"/>
      <name val="System-ui"/>
    </font>
    <font>
      <u/>
      <sz val="11.0"/>
      <color rgb="FF000000"/>
      <name val="Calibri"/>
    </font>
    <font>
      <sz val="11.0"/>
      <color rgb="FF000000"/>
      <name val="&quot;Times New Roman&quot;"/>
    </font>
    <font>
      <i/>
      <sz val="11.0"/>
      <color rgb="FF000000"/>
      <name val="&quot;Times New Roman&quot;"/>
    </font>
    <font>
      <sz val="9.0"/>
      <color rgb="FF222222"/>
      <name val="Monospace"/>
    </font>
    <font>
      <sz val="11.0"/>
      <color rgb="FF1F1F1F"/>
      <name val="&quot;Google Sans&quot;"/>
    </font>
    <font>
      <sz val="8.0"/>
      <color rgb="FF000000"/>
      <name val="Helvetica"/>
    </font>
    <font>
      <sz val="6.0"/>
      <color rgb="FF000000"/>
      <name val="Helvetica"/>
    </font>
    <font>
      <sz val="8.0"/>
      <color rgb="FF222222"/>
      <name val="Arial"/>
    </font>
    <font>
      <sz val="8.0"/>
      <color rgb="FF1F1F1F"/>
      <name val="&quot;Google Sans&quot;"/>
    </font>
    <font>
      <sz val="11.0"/>
      <color theme="1"/>
      <name val="&quot;Calibri&quot;"/>
    </font>
    <font>
      <u/>
      <sz val="11.0"/>
      <color rgb="FF0000FF"/>
      <name val="Calibri"/>
    </font>
    <font>
      <b/>
      <sz val="9.0"/>
      <color rgb="FF333333"/>
      <name val="Times New Roman"/>
    </font>
    <font>
      <color rgb="FF333333"/>
      <name val="Calibri"/>
      <scheme val="minor"/>
    </font>
    <font>
      <i/>
      <sz val="12.0"/>
      <color theme="1"/>
      <name val="&quot;Calibri&quot;"/>
    </font>
    <font>
      <sz val="11.0"/>
      <color rgb="FF222222"/>
      <name val="Arial"/>
    </font>
    <font>
      <sz val="12.0"/>
      <color rgb="FF000000"/>
      <name val="&quot;Book Antiqua&quot;"/>
    </font>
    <font>
      <color theme="1"/>
      <name val="&quot;Century Schoolbook&quot;"/>
    </font>
    <font>
      <sz val="9.0"/>
      <color theme="1"/>
      <name val="Calibri"/>
    </font>
    <font>
      <sz val="8.0"/>
      <color theme="1"/>
      <name val="Calibri"/>
    </font>
    <font>
      <sz val="14.0"/>
      <color theme="1"/>
      <name val="Calibri"/>
      <scheme val="minor"/>
    </font>
    <font>
      <b/>
      <sz val="13.0"/>
      <color rgb="FF1F5C99"/>
      <name val="Arial"/>
    </font>
    <font>
      <b/>
      <sz val="10.0"/>
      <color theme="1"/>
      <name val="Arial"/>
    </font>
    <font>
      <b/>
      <sz val="16.0"/>
      <color rgb="FFFFFFFF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9.0"/>
      <color rgb="FF1F4E79"/>
      <name val="Arial"/>
    </font>
    <font>
      <b/>
      <sz val="9.0"/>
      <color rgb="FF1A7A5E"/>
      <name val="Arial"/>
    </font>
    <font>
      <b/>
      <sz val="9.0"/>
      <color rgb="FFC55A11"/>
      <name val="Arial"/>
    </font>
    <font>
      <b/>
      <sz val="9.0"/>
      <color rgb="FFC00000"/>
      <name val="Arial"/>
    </font>
    <font>
      <b/>
      <sz val="20.0"/>
      <color rgb="FF1F4E79"/>
      <name val="Arial"/>
    </font>
    <font>
      <b/>
      <sz val="20.0"/>
      <color rgb="FF1A7A5E"/>
      <name val="Arial"/>
    </font>
    <font>
      <b/>
      <sz val="20.0"/>
      <color rgb="FFC55A11"/>
      <name val="Arial"/>
    </font>
    <font>
      <b/>
      <sz val="20.0"/>
      <color rgb="FFC00000"/>
      <name val="Arial"/>
    </font>
    <font>
      <sz val="8.0"/>
      <color rgb="FF1F4E79"/>
      <name val="Arial"/>
    </font>
    <font>
      <sz val="8.0"/>
      <color rgb="FF1A7A5E"/>
      <name val="Arial"/>
    </font>
    <font>
      <sz val="8.0"/>
      <color rgb="FFC55A11"/>
      <name val="Arial"/>
    </font>
    <font>
      <sz val="8.0"/>
      <color rgb="FFC00000"/>
      <name val="Arial"/>
    </font>
    <font>
      <b/>
      <sz val="9.0"/>
      <color rgb="FFFFFFFF"/>
      <name val="Arial"/>
    </font>
    <font>
      <b/>
      <sz val="12.0"/>
      <color rgb="FFFFFFFF"/>
      <name val="Arial"/>
    </font>
    <font>
      <sz val="9.0"/>
      <color rgb="FF3D3D3D"/>
      <name val="Arial"/>
    </font>
    <font>
      <b/>
      <sz val="11.0"/>
      <color rgb="FF3D3D3D"/>
      <name val="Arial"/>
    </font>
    <font>
      <sz val="9.0"/>
      <color rgb="FF595959"/>
      <name val="Arial"/>
    </font>
    <font>
      <b/>
      <sz val="11.0"/>
      <color rgb="FFC00000"/>
      <name val="Arial"/>
    </font>
    <font>
      <b/>
      <sz val="11.0"/>
      <color rgb="FF2E75B6"/>
      <name val="Arial"/>
    </font>
    <font>
      <b/>
      <sz val="11.0"/>
      <color rgb="FFC55A11"/>
      <name val="Arial"/>
    </font>
    <font>
      <b/>
      <sz val="11.0"/>
      <color rgb="FF1A7A5E"/>
      <name val="Arial"/>
    </font>
    <font>
      <b/>
      <sz val="11.0"/>
      <color rgb="FFE67E22"/>
      <name val="Arial"/>
    </font>
    <font>
      <b/>
      <sz val="11.0"/>
      <color rgb="FF595959"/>
      <name val="Arial"/>
    </font>
    <font>
      <b/>
      <sz val="11.0"/>
      <color rgb="FF006400"/>
      <name val="Arial"/>
    </font>
    <font>
      <b/>
      <sz val="9.0"/>
      <color rgb="FF000000"/>
      <name val="Arial"/>
    </font>
    <font>
      <b/>
      <sz val="11.0"/>
      <color rgb="FF1F4E79"/>
      <name val="Arial"/>
    </font>
    <font>
      <b/>
      <sz val="10.0"/>
      <color rgb="FF1F4E79"/>
      <name val="Arial"/>
    </font>
    <font>
      <sz val="10.0"/>
      <color rgb="FF595959"/>
      <name val="Arial"/>
    </font>
    <font>
      <sz val="10.0"/>
      <color rgb="FF1A7A5E"/>
      <name val="Arial"/>
    </font>
    <font>
      <b/>
      <sz val="10.0"/>
      <color rgb="FF000000"/>
      <name val="Arial"/>
    </font>
    <font>
      <b/>
      <sz val="10.0"/>
      <color rgb="FF1A7A5E"/>
      <name val="Arial"/>
    </font>
    <font>
      <b/>
      <sz val="10.0"/>
      <color rgb="FFC00000"/>
      <name val="Arial"/>
    </font>
    <font>
      <b/>
      <sz val="10.0"/>
      <color rgb="FF595959"/>
      <name val="Arial"/>
    </font>
    <font>
      <b/>
      <sz val="10.0"/>
      <color rgb="FFC55A11"/>
      <name val="Arial"/>
    </font>
    <font>
      <sz val="10.0"/>
      <color rgb="FF2E75B6"/>
      <name val="Arial"/>
    </font>
    <font>
      <sz val="8.0"/>
      <color rgb="FF595959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F5C99"/>
        <bgColor rgb="FF1F5C99"/>
      </patternFill>
    </fill>
    <fill>
      <patternFill patternType="solid">
        <fgColor rgb="FF1A7A5E"/>
        <bgColor rgb="FF1A7A5E"/>
      </patternFill>
    </fill>
    <fill>
      <patternFill patternType="solid">
        <fgColor rgb="FFB03A2E"/>
        <bgColor rgb="FFB03A2E"/>
      </patternFill>
    </fill>
    <fill>
      <patternFill patternType="solid">
        <fgColor rgb="FFEBF5FB"/>
        <bgColor rgb="FFEBF5FB"/>
      </patternFill>
    </fill>
    <fill>
      <patternFill patternType="solid">
        <fgColor rgb="FFD5EFE7"/>
        <bgColor rgb="FFD5EFE7"/>
      </patternFill>
    </fill>
    <fill>
      <patternFill patternType="solid">
        <fgColor rgb="FFFADBD8"/>
        <bgColor rgb="FFFADBD8"/>
      </patternFill>
    </fill>
    <fill>
      <patternFill patternType="solid">
        <fgColor rgb="FFFDFEFE"/>
        <bgColor rgb="FFFDFEFE"/>
      </patternFill>
    </fill>
    <fill>
      <patternFill patternType="solid">
        <fgColor rgb="FFE8F5F0"/>
        <bgColor rgb="FFE8F5F0"/>
      </patternFill>
    </fill>
    <fill>
      <patternFill patternType="solid">
        <fgColor rgb="FFFDEDEC"/>
        <bgColor rgb="FFFDEDE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FF8F7"/>
        <bgColor rgb="FFFFF8F7"/>
      </patternFill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DEBD0"/>
        <bgColor rgb="FFFDEBD0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7FBFF"/>
        <bgColor rgb="FFF7FBFF"/>
      </patternFill>
    </fill>
    <fill>
      <patternFill patternType="solid">
        <fgColor rgb="FFEAFAF1"/>
        <bgColor rgb="FFEAFAF1"/>
      </patternFill>
    </fill>
    <fill>
      <patternFill patternType="solid">
        <fgColor rgb="FFD5F5E3"/>
        <bgColor rgb="FFD5F5E3"/>
      </patternFill>
    </fill>
  </fills>
  <borders count="2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AAAAAA"/>
      </left>
      <top style="medium">
        <color rgb="FFAAAAAA"/>
      </top>
      <bottom style="thin">
        <color rgb="FFDDDDDD"/>
      </bottom>
    </border>
    <border>
      <right style="thin">
        <color rgb="FFDDDDDD"/>
      </right>
      <top style="medium">
        <color rgb="FFAAAAAA"/>
      </top>
      <bottom style="thin">
        <color rgb="FFDDDDDD"/>
      </bottom>
    </border>
    <border>
      <left style="medium">
        <color rgb="FFAAAAAA"/>
      </left>
      <right style="thin">
        <color rgb="FFDDDDDD"/>
      </right>
      <top style="medium">
        <color rgb="FFAAAAAA"/>
      </top>
      <bottom style="thin">
        <color rgb="FFDDDDDD"/>
      </bottom>
    </border>
    <border>
      <left style="thin">
        <color rgb="FFDDDDDD"/>
      </left>
      <right style="medium">
        <color rgb="FFAAAAAA"/>
      </right>
      <top style="medium">
        <color rgb="FFAAAAAA"/>
      </top>
      <bottom style="thin">
        <color rgb="FFDDDDDD"/>
      </bottom>
    </border>
    <border>
      <top style="medium">
        <color rgb="FFAAAAAA"/>
      </top>
      <bottom style="thin">
        <color rgb="FFDDDDDD"/>
      </bottom>
    </border>
    <border>
      <right style="medium">
        <color rgb="FFAAAAAA"/>
      </right>
      <top style="medium">
        <color rgb="FFAAAAAA"/>
      </top>
      <bottom style="thin">
        <color rgb="FFDDDDDD"/>
      </bottom>
    </border>
    <border>
      <left style="medium">
        <color rgb="FFAAAAAA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medium">
        <color rgb="FFAAAAAA"/>
      </right>
      <top style="thin">
        <color rgb="FFDDDDDD"/>
      </top>
      <bottom style="thin">
        <color rgb="FFDDDDDD"/>
      </bottom>
    </border>
    <border>
      <left style="medium">
        <color rgb="FFAAAAAA"/>
      </left>
      <top style="thin">
        <color rgb="FFDDDDDD"/>
      </top>
      <bottom style="medium">
        <color rgb="FFAAAAAA"/>
      </bottom>
    </border>
    <border>
      <top style="thin">
        <color rgb="FFDDDDDD"/>
      </top>
      <bottom style="medium">
        <color rgb="FFAAAAAA"/>
      </bottom>
    </border>
    <border>
      <right style="medium">
        <color rgb="FFAAAAAA"/>
      </right>
      <top style="thin">
        <color rgb="FFDDDDDD"/>
      </top>
      <bottom style="medium">
        <color rgb="FFAAAAAA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/>
      <top style="medium">
        <color rgb="FFCCCCCC"/>
      </top>
      <bottom style="medium">
        <color rgb="FFCCCCCC"/>
      </bottom>
    </border>
    <border>
      <left style="thin">
        <color rgb="FFCCCCCC"/>
      </left>
      <right style="thin">
        <color rgb="FFCCCCCC"/>
      </right>
      <top style="thin">
        <color rgb="FFEEEEEE"/>
      </top>
      <bottom style="thin">
        <color rgb="FFEEEEE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horizontal="left" readingOrder="0" shrinkToFit="0" vertical="center" wrapText="1"/>
    </xf>
    <xf borderId="4" fillId="5" fontId="4" numFmtId="164" xfId="0" applyAlignment="1" applyBorder="1" applyFont="1" applyNumberFormat="1">
      <alignment horizontal="left" shrinkToFit="0" vertical="center" wrapText="1"/>
    </xf>
    <xf borderId="4" fillId="5" fontId="4" numFmtId="164" xfId="0" applyAlignment="1" applyBorder="1" applyFont="1" applyNumberFormat="1">
      <alignment horizontal="left" readingOrder="0" shrinkToFit="0" vertical="center" wrapText="1"/>
    </xf>
    <xf borderId="4" fillId="5" fontId="4" numFmtId="1" xfId="0" applyAlignment="1" applyBorder="1" applyFont="1" applyNumberFormat="1">
      <alignment horizontal="center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4" fillId="7" fontId="4" numFmtId="165" xfId="0" applyAlignment="1" applyBorder="1" applyFont="1" applyNumberFormat="1">
      <alignment horizontal="left" readingOrder="0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7" fontId="4" numFmtId="1" xfId="0" applyAlignment="1" applyBorder="1" applyFont="1" applyNumberFormat="1">
      <alignment horizontal="left" shrinkToFit="0" vertical="center" wrapText="1"/>
    </xf>
    <xf borderId="4" fillId="6" fontId="4" numFmtId="164" xfId="0" applyAlignment="1" applyBorder="1" applyFont="1" applyNumberFormat="1">
      <alignment horizontal="left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6" fontId="4" numFmtId="2" xfId="0" applyAlignment="1" applyBorder="1" applyFont="1" applyNumberFormat="1">
      <alignment horizontal="left" shrinkToFit="0" vertical="center" wrapText="1"/>
    </xf>
    <xf borderId="4" fillId="7" fontId="4" numFmtId="0" xfId="0" applyAlignment="1" applyBorder="1" applyFont="1">
      <alignment horizontal="left" readingOrder="0" shrinkToFit="0" vertical="center" wrapText="1"/>
    </xf>
    <xf borderId="4" fillId="7" fontId="4" numFmtId="165" xfId="0" applyAlignment="1" applyBorder="1" applyFont="1" applyNumberFormat="1">
      <alignment horizontal="left" shrinkToFit="0" vertical="center" wrapText="1"/>
    </xf>
    <xf borderId="4" fillId="8" fontId="4" numFmtId="0" xfId="0" applyAlignment="1" applyBorder="1" applyFill="1" applyFont="1">
      <alignment horizontal="left" shrinkToFit="0" vertical="center" wrapText="1"/>
    </xf>
    <xf borderId="4" fillId="9" fontId="4" numFmtId="0" xfId="0" applyAlignment="1" applyBorder="1" applyFill="1" applyFont="1">
      <alignment horizontal="left" readingOrder="0" shrinkToFit="0" vertical="center" wrapText="1"/>
    </xf>
    <xf borderId="4" fillId="8" fontId="4" numFmtId="164" xfId="0" applyAlignment="1" applyBorder="1" applyFont="1" applyNumberFormat="1">
      <alignment horizontal="left" shrinkToFit="0" vertical="center" wrapText="1"/>
    </xf>
    <xf borderId="4" fillId="8" fontId="4" numFmtId="1" xfId="0" applyAlignment="1" applyBorder="1" applyFont="1" applyNumberFormat="1">
      <alignment horizontal="center" shrinkToFit="0" vertical="center" wrapText="1"/>
    </xf>
    <xf borderId="4" fillId="8" fontId="4" numFmtId="0" xfId="0" applyAlignment="1" applyBorder="1" applyFont="1">
      <alignment horizontal="left" readingOrder="0" shrinkToFit="0" vertical="center" wrapText="1"/>
    </xf>
    <xf borderId="4" fillId="10" fontId="4" numFmtId="0" xfId="0" applyAlignment="1" applyBorder="1" applyFill="1" applyFont="1">
      <alignment horizontal="left" readingOrder="0" shrinkToFit="0" vertical="center" wrapText="1"/>
    </xf>
    <xf borderId="4" fillId="10" fontId="4" numFmtId="165" xfId="0" applyAlignment="1" applyBorder="1" applyFont="1" applyNumberFormat="1">
      <alignment horizontal="left" shrinkToFit="0" vertical="center" wrapText="1"/>
    </xf>
    <xf borderId="4" fillId="10" fontId="5" numFmtId="0" xfId="0" applyAlignment="1" applyBorder="1" applyFont="1">
      <alignment horizontal="left" readingOrder="0" shrinkToFit="0" vertical="center" wrapText="1"/>
    </xf>
    <xf borderId="4" fillId="10" fontId="4" numFmtId="1" xfId="0" applyAlignment="1" applyBorder="1" applyFont="1" applyNumberFormat="1">
      <alignment horizontal="left" shrinkToFit="0" vertical="center" wrapText="1"/>
    </xf>
    <xf borderId="4" fillId="9" fontId="4" numFmtId="164" xfId="0" applyAlignment="1" applyBorder="1" applyFont="1" applyNumberFormat="1">
      <alignment horizontal="left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9" fontId="4" numFmtId="2" xfId="0" applyAlignment="1" applyBorder="1" applyFont="1" applyNumberFormat="1">
      <alignment horizontal="left" shrinkToFit="0" vertical="center" wrapText="1"/>
    </xf>
    <xf borderId="4" fillId="6" fontId="4" numFmtId="164" xfId="0" applyAlignment="1" applyBorder="1" applyFont="1" applyNumberFormat="1">
      <alignment horizontal="left" readingOrder="0" shrinkToFit="0" vertical="center" wrapText="1"/>
    </xf>
    <xf borderId="4" fillId="7" fontId="6" numFmtId="0" xfId="0" applyAlignment="1" applyBorder="1" applyFont="1">
      <alignment horizontal="left" readingOrder="0" shrinkToFit="0" vertical="center" wrapText="1"/>
    </xf>
    <xf borderId="4" fillId="10" fontId="4" numFmtId="0" xfId="0" applyAlignment="1" applyBorder="1" applyFont="1">
      <alignment horizontal="left" shrinkToFit="0" vertical="center" wrapText="1"/>
    </xf>
    <xf borderId="4" fillId="10" fontId="4" numFmtId="165" xfId="0" applyAlignment="1" applyBorder="1" applyFont="1" applyNumberFormat="1">
      <alignment horizontal="left" readingOrder="0" shrinkToFit="0" vertical="center" wrapText="1"/>
    </xf>
    <xf borderId="4" fillId="10" fontId="4" numFmtId="1" xfId="0" applyAlignment="1" applyBorder="1" applyFont="1" applyNumberFormat="1">
      <alignment horizontal="left" readingOrder="0" shrinkToFit="0" vertical="center" wrapText="1"/>
    </xf>
    <xf borderId="4" fillId="9" fontId="4" numFmtId="2" xfId="0" applyAlignment="1" applyBorder="1" applyFont="1" applyNumberForma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4" fillId="7" fontId="4" numFmtId="1" xfId="0" applyAlignment="1" applyBorder="1" applyFont="1" applyNumberFormat="1">
      <alignment horizontal="left" readingOrder="0" shrinkToFit="0" vertical="center" wrapText="1"/>
    </xf>
    <xf borderId="4" fillId="6" fontId="8" numFmtId="0" xfId="0" applyAlignment="1" applyBorder="1" applyFont="1">
      <alignment horizontal="left" readingOrder="0" shrinkToFit="0" vertical="center" wrapText="1"/>
    </xf>
    <xf borderId="0" fillId="11" fontId="9" numFmtId="164" xfId="0" applyAlignment="1" applyFill="1" applyFont="1" applyNumberFormat="1">
      <alignment horizontal="left" readingOrder="0"/>
    </xf>
    <xf borderId="0" fillId="11" fontId="10" numFmtId="0" xfId="0" applyAlignment="1" applyFont="1">
      <alignment readingOrder="0"/>
    </xf>
    <xf borderId="4" fillId="8" fontId="4" numFmtId="164" xfId="0" applyAlignment="1" applyBorder="1" applyFont="1" applyNumberFormat="1">
      <alignment horizontal="left" readingOrder="0" shrinkToFit="0" vertical="center" wrapText="1"/>
    </xf>
    <xf borderId="4" fillId="7" fontId="11" numFmtId="0" xfId="0" applyAlignment="1" applyBorder="1" applyFont="1">
      <alignment horizontal="left" readingOrder="0" shrinkToFit="0" vertical="center" wrapText="1"/>
    </xf>
    <xf borderId="4" fillId="9" fontId="4" numFmtId="164" xfId="0" applyAlignment="1" applyBorder="1" applyFont="1" applyNumberFormat="1">
      <alignment horizontal="left" readingOrder="0" shrinkToFit="0" vertical="center" wrapText="1"/>
    </xf>
    <xf borderId="0" fillId="12" fontId="12" numFmtId="0" xfId="0" applyAlignment="1" applyFill="1" applyFont="1">
      <alignment readingOrder="0" shrinkToFit="0" wrapText="1"/>
    </xf>
    <xf borderId="0" fillId="13" fontId="13" numFmtId="0" xfId="0" applyAlignment="1" applyFill="1" applyFont="1">
      <alignment horizontal="left" readingOrder="0"/>
    </xf>
    <xf borderId="0" fillId="13" fontId="14" numFmtId="165" xfId="0" applyAlignment="1" applyFont="1" applyNumberFormat="1">
      <alignment readingOrder="0"/>
    </xf>
    <xf borderId="0" fillId="0" fontId="15" numFmtId="0" xfId="0" applyAlignment="1" applyFont="1">
      <alignment readingOrder="0"/>
    </xf>
    <xf borderId="4" fillId="6" fontId="4" numFmtId="2" xfId="0" applyAlignment="1" applyBorder="1" applyFont="1" applyNumberFormat="1">
      <alignment horizontal="left" readingOrder="0" shrinkToFit="0" vertical="center" wrapText="1"/>
    </xf>
    <xf borderId="0" fillId="0" fontId="7" numFmtId="166" xfId="0" applyAlignment="1" applyFont="1" applyNumberFormat="1">
      <alignment readingOrder="0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10" fontId="18" numFmtId="0" xfId="0" applyAlignment="1" applyFont="1">
      <alignment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4" fillId="5" fontId="4" numFmtId="1" xfId="0" applyAlignment="1" applyBorder="1" applyFont="1" applyNumberFormat="1">
      <alignment horizontal="center" readingOrder="0" shrinkToFit="0" vertical="center" wrapText="1"/>
    </xf>
    <xf borderId="0" fillId="6" fontId="4" numFmtId="0" xfId="0" applyAlignment="1" applyFont="1">
      <alignment readingOrder="0" shrinkToFit="0" wrapText="1"/>
    </xf>
    <xf borderId="4" fillId="10" fontId="19" numFmtId="0" xfId="0" applyAlignment="1" applyBorder="1" applyFont="1">
      <alignment horizontal="left" readingOrder="0" shrinkToFit="0" vertical="center" wrapText="1"/>
    </xf>
    <xf borderId="4" fillId="9" fontId="4" numFmtId="164" xfId="0" applyAlignment="1" applyBorder="1" applyFont="1" applyNumberFormat="1">
      <alignment shrinkToFit="0" wrapText="1"/>
    </xf>
    <xf borderId="4" fillId="9" fontId="20" numFmtId="0" xfId="0" applyBorder="1" applyFont="1"/>
    <xf borderId="4" fillId="9" fontId="4" numFmtId="0" xfId="0" applyAlignment="1" applyBorder="1" applyFont="1">
      <alignment shrinkToFit="0" wrapText="1"/>
    </xf>
    <xf borderId="4" fillId="9" fontId="4" numFmtId="2" xfId="0" applyAlignment="1" applyBorder="1" applyFont="1" applyNumberFormat="1">
      <alignment shrinkToFit="0" wrapText="1"/>
    </xf>
    <xf borderId="4" fillId="9" fontId="4" numFmtId="0" xfId="0" applyAlignment="1" applyBorder="1" applyFont="1">
      <alignment readingOrder="0" shrinkToFit="0" wrapText="1"/>
    </xf>
    <xf borderId="0" fillId="13" fontId="21" numFmtId="0" xfId="0" applyAlignment="1" applyFont="1">
      <alignment readingOrder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wrapText="1"/>
    </xf>
    <xf borderId="0" fillId="13" fontId="23" numFmtId="0" xfId="0" applyAlignment="1" applyFont="1">
      <alignment readingOrder="0" shrinkToFit="0" wrapText="1"/>
    </xf>
    <xf borderId="0" fillId="13" fontId="24" numFmtId="0" xfId="0" applyAlignment="1" applyFont="1">
      <alignment readingOrder="0"/>
    </xf>
    <xf borderId="0" fillId="13" fontId="25" numFmtId="0" xfId="0" applyAlignment="1" applyFont="1">
      <alignment readingOrder="0"/>
    </xf>
    <xf borderId="0" fillId="0" fontId="20" numFmtId="167" xfId="0" applyAlignment="1" applyFont="1" applyNumberFormat="1">
      <alignment readingOrder="0" shrinkToFit="0" vertical="bottom" wrapText="0"/>
    </xf>
    <xf borderId="0" fillId="0" fontId="20" numFmtId="167" xfId="0" applyAlignment="1" applyFont="1" applyNumberFormat="1">
      <alignment horizontal="left" readingOrder="0" shrinkToFit="0" vertical="bottom" wrapText="0"/>
    </xf>
    <xf borderId="0" fillId="0" fontId="26" numFmtId="0" xfId="0" applyAlignment="1" applyFont="1">
      <alignment horizontal="center" readingOrder="0"/>
    </xf>
    <xf borderId="0" fillId="0" fontId="7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/>
    </xf>
    <xf borderId="4" fillId="5" fontId="4" numFmtId="166" xfId="0" applyAlignment="1" applyBorder="1" applyFont="1" applyNumberFormat="1">
      <alignment horizontal="left" readingOrder="0" shrinkToFit="0" vertical="center" wrapText="1"/>
    </xf>
    <xf borderId="4" fillId="6" fontId="4" numFmtId="166" xfId="0" applyAlignment="1" applyBorder="1" applyFont="1" applyNumberFormat="1">
      <alignment horizontal="left" readingOrder="0" shrinkToFit="0" vertical="center" wrapText="1"/>
    </xf>
    <xf borderId="0" fillId="8" fontId="7" numFmtId="0" xfId="0" applyAlignment="1" applyFont="1">
      <alignment readingOrder="0" shrinkToFit="0" wrapText="1"/>
    </xf>
    <xf borderId="0" fillId="12" fontId="20" numFmtId="0" xfId="0" applyAlignment="1" applyFont="1">
      <alignment readingOrder="0" shrinkToFit="0" vertical="bottom" wrapText="1"/>
    </xf>
    <xf borderId="0" fillId="8" fontId="20" numFmtId="0" xfId="0" applyAlignment="1" applyFont="1">
      <alignment readingOrder="0" shrinkToFit="0" vertical="bottom" wrapText="0"/>
    </xf>
    <xf borderId="4" fillId="8" fontId="4" numFmtId="165" xfId="0" applyAlignment="1" applyBorder="1" applyFont="1" applyNumberFormat="1">
      <alignment horizontal="left" shrinkToFit="0" vertical="center" wrapText="1"/>
    </xf>
    <xf borderId="0" fillId="8" fontId="20" numFmtId="0" xfId="0" applyAlignment="1" applyFont="1">
      <alignment shrinkToFit="0" vertical="bottom" wrapText="0"/>
    </xf>
    <xf borderId="0" fillId="13" fontId="27" numFmtId="0" xfId="0" applyAlignment="1" applyFont="1">
      <alignment readingOrder="0" shrinkToFit="0" wrapText="1"/>
    </xf>
    <xf borderId="0" fillId="0" fontId="20" numFmtId="166" xfId="0" applyAlignment="1" applyFont="1" applyNumberFormat="1">
      <alignment horizontal="left"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wrapText="1"/>
    </xf>
    <xf borderId="0" fillId="13" fontId="30" numFmtId="0" xfId="0" applyAlignment="1" applyFont="1">
      <alignment shrinkToFit="0" wrapText="1"/>
    </xf>
    <xf borderId="0" fillId="0" fontId="20" numFmtId="166" xfId="0" applyAlignment="1" applyFont="1" applyNumberFormat="1">
      <alignment readingOrder="0" shrinkToFit="0" vertical="bottom" wrapText="0"/>
    </xf>
    <xf borderId="0" fillId="0" fontId="31" numFmtId="0" xfId="0" applyAlignment="1" applyFont="1">
      <alignment readingOrder="0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20" numFmtId="0" xfId="0" applyAlignment="1" applyFont="1">
      <alignment readingOrder="0" shrinkToFit="0" vertical="center" wrapText="0"/>
    </xf>
    <xf borderId="0" fillId="0" fontId="7" numFmtId="168" xfId="0" applyAlignment="1" applyFont="1" applyNumberForma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32" numFmtId="0" xfId="0" applyAlignment="1" applyFont="1">
      <alignment horizontal="left" readingOrder="0" vertical="center"/>
    </xf>
    <xf borderId="0" fillId="0" fontId="20" numFmtId="0" xfId="0" applyAlignment="1" applyFont="1">
      <alignment horizontal="left" shrinkToFit="0" vertical="center" wrapText="0"/>
    </xf>
    <xf borderId="0" fillId="0" fontId="33" numFmtId="0" xfId="0" applyAlignment="1" applyFont="1">
      <alignment readingOrder="0" shrinkToFit="0" wrapText="1"/>
    </xf>
    <xf borderId="0" fillId="13" fontId="34" numFmtId="0" xfId="0" applyAlignment="1" applyFont="1">
      <alignment readingOrder="0"/>
    </xf>
    <xf borderId="0" fillId="0" fontId="35" numFmtId="0" xfId="0" applyAlignment="1" applyFont="1">
      <alignment readingOrder="0" shrinkToFit="0" wrapText="1"/>
    </xf>
    <xf borderId="0" fillId="0" fontId="36" numFmtId="0" xfId="0" applyAlignment="1" applyFont="1">
      <alignment readingOrder="0" shrinkToFit="0" wrapText="1"/>
    </xf>
    <xf borderId="0" fillId="0" fontId="20" numFmtId="168" xfId="0" applyAlignment="1" applyFont="1" applyNumberFormat="1">
      <alignment readingOrder="0" shrinkToFit="0" vertical="bottom" wrapText="0"/>
    </xf>
    <xf borderId="0" fillId="0" fontId="37" numFmtId="0" xfId="0" applyAlignment="1" applyFont="1">
      <alignment readingOrder="0"/>
    </xf>
    <xf borderId="0" fillId="0" fontId="20" numFmtId="168" xfId="0" applyAlignment="1" applyFont="1" applyNumberFormat="1">
      <alignment horizontal="left" readingOrder="0" shrinkToFit="0" vertical="bottom" wrapText="0"/>
    </xf>
    <xf borderId="0" fillId="0" fontId="22" numFmtId="0" xfId="0" applyAlignment="1" applyFont="1">
      <alignment readingOrder="0"/>
    </xf>
    <xf borderId="0" fillId="13" fontId="38" numFmtId="0" xfId="0" applyAlignment="1" applyFont="1">
      <alignment readingOrder="0" shrinkToFit="0" wrapText="1"/>
    </xf>
    <xf borderId="0" fillId="0" fontId="39" numFmtId="0" xfId="0" applyAlignment="1" applyFont="1">
      <alignment readingOrder="0" shrinkToFit="0" vertical="bottom" wrapText="1"/>
    </xf>
    <xf borderId="0" fillId="0" fontId="40" numFmtId="0" xfId="0" applyAlignment="1" applyFont="1">
      <alignment readingOrder="0" shrinkToFit="0" wrapText="1"/>
    </xf>
    <xf borderId="0" fillId="0" fontId="40" numFmtId="49" xfId="0" applyAlignment="1" applyFont="1" applyNumberFormat="1">
      <alignment horizontal="left" readingOrder="0" shrinkToFit="0" wrapText="1"/>
    </xf>
    <xf borderId="0" fillId="0" fontId="40" numFmtId="169" xfId="0" applyAlignment="1" applyFont="1" applyNumberFormat="1">
      <alignment horizontal="left" readingOrder="0" shrinkToFit="0" wrapText="1"/>
    </xf>
    <xf borderId="0" fillId="0" fontId="41" numFmtId="0" xfId="0" applyAlignment="1" applyFont="1">
      <alignment readingOrder="0"/>
    </xf>
    <xf borderId="0" fillId="0" fontId="40" numFmtId="49" xfId="0" applyAlignment="1" applyFont="1" applyNumberFormat="1">
      <alignment readingOrder="0" shrinkToFit="0" wrapText="1"/>
    </xf>
    <xf borderId="0" fillId="0" fontId="35" numFmtId="0" xfId="0" applyAlignment="1" applyFont="1">
      <alignment readingOrder="0"/>
    </xf>
    <xf borderId="0" fillId="0" fontId="40" numFmtId="49" xfId="0" applyAlignment="1" applyFont="1" applyNumberFormat="1">
      <alignment horizontal="left" readingOrder="0" shrinkToFit="0" vertical="center" wrapText="1"/>
    </xf>
    <xf borderId="0" fillId="0" fontId="42" numFmtId="0" xfId="0" applyAlignment="1" applyFont="1">
      <alignment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13" fontId="34" numFmtId="0" xfId="0" applyAlignment="1" applyFont="1">
      <alignment readingOrder="0"/>
    </xf>
    <xf borderId="0" fillId="13" fontId="44" numFmtId="0" xfId="0" applyAlignment="1" applyFont="1">
      <alignment readingOrder="0" shrinkToFit="0" wrapText="1"/>
    </xf>
    <xf borderId="0" fillId="0" fontId="39" numFmtId="0" xfId="0" applyAlignment="1" applyFont="1">
      <alignment readingOrder="0" shrinkToFit="0" vertical="bottom" wrapText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13" fontId="47" numFmtId="0" xfId="0" applyAlignment="1" applyFont="1">
      <alignment readingOrder="0"/>
    </xf>
    <xf borderId="0" fillId="13" fontId="48" numFmtId="0" xfId="0" applyAlignment="1" applyFont="1">
      <alignment readingOrder="0"/>
    </xf>
    <xf borderId="0" fillId="0" fontId="49" numFmtId="0" xfId="0" applyAlignment="1" applyFont="1">
      <alignment readingOrder="0" shrinkToFit="0" wrapText="1"/>
    </xf>
    <xf borderId="0" fillId="0" fontId="50" numFmtId="0" xfId="0" applyAlignment="1" applyFont="1">
      <alignment readingOrder="0"/>
    </xf>
    <xf borderId="0" fillId="14" fontId="51" numFmtId="0" xfId="0" applyAlignment="1" applyFill="1" applyFont="1">
      <alignment readingOrder="0" shrinkToFit="0" wrapText="1"/>
    </xf>
    <xf borderId="0" fillId="0" fontId="52" numFmtId="0" xfId="0" applyAlignment="1" applyFont="1">
      <alignment readingOrder="0" shrinkToFit="0" wrapText="1"/>
    </xf>
    <xf borderId="0" fillId="13" fontId="34" numFmtId="0" xfId="0" applyAlignment="1" applyFont="1">
      <alignment readingOrder="0" shrinkToFit="0" wrapText="1"/>
    </xf>
    <xf borderId="0" fillId="0" fontId="53" numFmtId="0" xfId="0" applyAlignment="1" applyFont="1">
      <alignment horizontal="center" readingOrder="0" shrinkToFit="0" wrapText="1"/>
    </xf>
    <xf borderId="0" fillId="13" fontId="30" numFmtId="0" xfId="0" applyAlignment="1" applyFont="1">
      <alignment readingOrder="0" shrinkToFit="0" wrapText="1"/>
    </xf>
    <xf borderId="0" fillId="13" fontId="21" numFmtId="0" xfId="0" applyAlignment="1" applyFont="1">
      <alignment readingOrder="0" shrinkToFit="0" wrapText="1"/>
    </xf>
    <xf borderId="0" fillId="13" fontId="54" numFmtId="0" xfId="0" applyAlignment="1" applyFont="1">
      <alignment readingOrder="0"/>
    </xf>
    <xf borderId="0" fillId="0" fontId="20" numFmtId="0" xfId="0" applyAlignment="1" applyFont="1">
      <alignment readingOrder="0" shrinkToFit="0" vertical="bottom" wrapText="1"/>
    </xf>
    <xf borderId="0" fillId="0" fontId="55" numFmtId="0" xfId="0" applyAlignment="1" applyFont="1">
      <alignment readingOrder="0" shrinkToFit="0" vertical="bottom" wrapText="0"/>
    </xf>
    <xf borderId="0" fillId="13" fontId="51" numFmtId="0" xfId="0" applyAlignment="1" applyFont="1">
      <alignment readingOrder="0"/>
    </xf>
    <xf borderId="0" fillId="13" fontId="51" numFmtId="0" xfId="0" applyAlignment="1" applyFont="1">
      <alignment readingOrder="0"/>
    </xf>
    <xf borderId="0" fillId="13" fontId="56" numFmtId="0" xfId="0" applyAlignment="1" applyFont="1">
      <alignment readingOrder="0" shrinkToFit="0" wrapText="1"/>
    </xf>
    <xf borderId="0" fillId="13" fontId="57" numFmtId="0" xfId="0" applyAlignment="1" applyFont="1">
      <alignment readingOrder="0" shrinkToFit="0" wrapText="1"/>
    </xf>
    <xf borderId="0" fillId="13" fontId="34" numFmtId="0" xfId="0" applyAlignment="1" applyFont="1">
      <alignment readingOrder="0" shrinkToFit="0" wrapText="1"/>
    </xf>
    <xf borderId="0" fillId="13" fontId="23" numFmtId="0" xfId="0" applyAlignment="1" applyFont="1">
      <alignment horizontal="center" readingOrder="0" shrinkToFit="0" wrapText="1"/>
    </xf>
    <xf borderId="0" fillId="13" fontId="58" numFmtId="0" xfId="0" applyAlignment="1" applyFont="1">
      <alignment readingOrder="0" shrinkToFit="0" wrapText="1"/>
    </xf>
    <xf borderId="0" fillId="13" fontId="59" numFmtId="0" xfId="0" applyAlignment="1" applyFont="1">
      <alignment readingOrder="0" shrinkToFit="0" wrapText="1"/>
    </xf>
    <xf borderId="0" fillId="13" fontId="58" numFmtId="0" xfId="0" applyAlignment="1" applyFont="1">
      <alignment shrinkToFit="0" wrapText="1"/>
    </xf>
    <xf borderId="0" fillId="0" fontId="20" numFmtId="170" xfId="0" applyAlignment="1" applyFont="1" applyNumberFormat="1">
      <alignment horizontal="left" readingOrder="0" shrinkToFit="0" vertical="bottom" wrapText="0"/>
    </xf>
    <xf borderId="0" fillId="13" fontId="51" numFmtId="0" xfId="0" applyAlignment="1" applyFont="1">
      <alignment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60" numFmtId="0" xfId="0" applyAlignment="1" applyFont="1">
      <alignment readingOrder="0"/>
    </xf>
    <xf borderId="0" fillId="0" fontId="61" numFmtId="0" xfId="0" applyAlignment="1" applyFont="1">
      <alignment readingOrder="0"/>
    </xf>
    <xf borderId="0" fillId="13" fontId="62" numFmtId="0" xfId="0" applyAlignment="1" applyFont="1">
      <alignment readingOrder="0"/>
    </xf>
    <xf borderId="0" fillId="13" fontId="63" numFmtId="0" xfId="0" applyAlignment="1" applyFont="1">
      <alignment horizontal="left" readingOrder="0" shrinkToFit="0" vertical="top" wrapText="0"/>
    </xf>
    <xf borderId="0" fillId="0" fontId="64" numFmtId="0" xfId="0" applyAlignment="1" applyFont="1">
      <alignment readingOrder="0" shrinkToFit="0" wrapText="1"/>
    </xf>
    <xf borderId="0" fillId="0" fontId="50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vertical="center" wrapText="0"/>
    </xf>
    <xf borderId="0" fillId="0" fontId="65" numFmtId="0" xfId="0" applyAlignment="1" applyFont="1">
      <alignment readingOrder="0" shrinkToFit="0" vertical="bottom" wrapText="1"/>
    </xf>
    <xf borderId="0" fillId="0" fontId="66" numFmtId="0" xfId="0" applyAlignment="1" applyFont="1">
      <alignment horizontal="left" readingOrder="0" shrinkToFit="0" wrapText="1"/>
    </xf>
    <xf borderId="0" fillId="0" fontId="67" numFmtId="0" xfId="0" applyAlignment="1" applyFont="1">
      <alignment horizontal="left" readingOrder="0" shrinkToFit="0" wrapText="1"/>
    </xf>
    <xf borderId="0" fillId="0" fontId="20" numFmtId="170" xfId="0" applyAlignment="1" applyFont="1" applyNumberFormat="1">
      <alignment readingOrder="0" shrinkToFit="0" vertical="bottom" wrapText="0"/>
    </xf>
    <xf borderId="0" fillId="0" fontId="20" numFmtId="171" xfId="0" applyAlignment="1" applyFont="1" applyNumberFormat="1">
      <alignment horizontal="left" readingOrder="0" shrinkToFit="0" vertical="bottom" wrapText="0"/>
    </xf>
    <xf borderId="0" fillId="0" fontId="68" numFmtId="0" xfId="0" applyAlignment="1" applyFont="1">
      <alignment readingOrder="0"/>
    </xf>
    <xf borderId="0" fillId="13" fontId="34" numFmtId="0" xfId="0" applyAlignment="1" applyFont="1">
      <alignment readingOrder="0" shrinkToFit="0" wrapText="0"/>
    </xf>
    <xf borderId="0" fillId="13" fontId="69" numFmtId="0" xfId="0" applyAlignment="1" applyFont="1">
      <alignment readingOrder="0"/>
    </xf>
    <xf borderId="0" fillId="15" fontId="70" numFmtId="0" xfId="0" applyAlignment="1" applyFill="1" applyFont="1">
      <alignment readingOrder="0"/>
    </xf>
    <xf borderId="0" fillId="0" fontId="35" numFmtId="0" xfId="0" applyAlignment="1" applyFont="1">
      <alignment horizontal="center" readingOrder="0"/>
    </xf>
    <xf borderId="0" fillId="0" fontId="71" numFmtId="0" xfId="0" applyAlignment="1" applyFont="1">
      <alignment readingOrder="0"/>
    </xf>
    <xf borderId="0" fillId="0" fontId="20" numFmtId="172" xfId="0" applyAlignment="1" applyFont="1" applyNumberFormat="1">
      <alignment readingOrder="0" shrinkToFit="0" vertical="bottom" wrapText="0"/>
    </xf>
    <xf borderId="0" fillId="13" fontId="34" numFmtId="173" xfId="0" applyAlignment="1" applyFont="1" applyNumberFormat="1">
      <alignment readingOrder="0"/>
    </xf>
    <xf borderId="0" fillId="0" fontId="64" numFmtId="0" xfId="0" applyAlignment="1" applyFont="1">
      <alignment readingOrder="0" shrinkToFit="0" wrapText="1"/>
    </xf>
    <xf borderId="0" fillId="0" fontId="64" numFmtId="0" xfId="0" applyAlignment="1" applyFont="1">
      <alignment readingOrder="0"/>
    </xf>
    <xf borderId="0" fillId="0" fontId="20" numFmtId="174" xfId="0" applyAlignment="1" applyFont="1" applyNumberFormat="1">
      <alignment readingOrder="0" shrinkToFit="0" vertical="bottom" wrapText="0"/>
    </xf>
    <xf borderId="0" fillId="0" fontId="7" numFmtId="175" xfId="0" applyAlignment="1" applyFont="1" applyNumberFormat="1">
      <alignment readingOrder="0"/>
    </xf>
    <xf borderId="0" fillId="0" fontId="72" numFmtId="0" xfId="0" applyAlignment="1" applyFont="1">
      <alignment readingOrder="0" shrinkToFit="0" vertical="bottom" wrapText="0"/>
    </xf>
    <xf borderId="0" fillId="0" fontId="73" numFmtId="0" xfId="0" applyAlignment="1" applyFont="1">
      <alignment readingOrder="0" shrinkToFit="0" vertical="bottom" wrapText="0"/>
    </xf>
    <xf borderId="0" fillId="0" fontId="74" numFmtId="0" xfId="0" applyFont="1"/>
    <xf borderId="0" fillId="0" fontId="75" numFmtId="0" xfId="0" applyAlignment="1" applyFont="1">
      <alignment horizontal="left" shrinkToFit="0" vertical="center" wrapText="0"/>
    </xf>
    <xf borderId="4" fillId="5" fontId="76" numFmtId="0" xfId="0" applyAlignment="1" applyBorder="1" applyFont="1">
      <alignment horizontal="left" shrinkToFit="0" vertical="center" wrapText="0"/>
    </xf>
    <xf borderId="4" fillId="5" fontId="40" numFmtId="0" xfId="0" applyAlignment="1" applyBorder="1" applyFont="1">
      <alignment horizontal="left" shrinkToFit="0" vertical="center" wrapText="1"/>
    </xf>
    <xf borderId="4" fillId="8" fontId="76" numFmtId="0" xfId="0" applyAlignment="1" applyBorder="1" applyFont="1">
      <alignment horizontal="left" shrinkToFit="0" vertical="center" wrapText="0"/>
    </xf>
    <xf borderId="4" fillId="8" fontId="40" numFmtId="0" xfId="0" applyAlignment="1" applyBorder="1" applyFont="1">
      <alignment horizontal="left" shrinkToFit="0" vertical="center" wrapText="1"/>
    </xf>
    <xf borderId="5" fillId="16" fontId="77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17" fontId="78" numFmtId="0" xfId="0" applyAlignment="1" applyBorder="1" applyFill="1" applyFont="1">
      <alignment shrinkToFit="0" vertical="bottom" wrapText="0"/>
    </xf>
    <xf borderId="8" fillId="18" fontId="79" numFmtId="0" xfId="0" applyAlignment="1" applyBorder="1" applyFill="1" applyFont="1">
      <alignment shrinkToFit="0" vertical="bottom" wrapText="0"/>
    </xf>
    <xf borderId="9" fillId="19" fontId="80" numFmtId="0" xfId="0" applyAlignment="1" applyBorder="1" applyFill="1" applyFont="1">
      <alignment horizontal="left" shrinkToFit="0" vertical="center" wrapText="0"/>
    </xf>
    <xf borderId="10" fillId="0" fontId="2" numFmtId="0" xfId="0" applyBorder="1" applyFont="1"/>
    <xf borderId="11" fillId="19" fontId="80" numFmtId="0" xfId="0" applyAlignment="1" applyBorder="1" applyFont="1">
      <alignment horizontal="left" shrinkToFit="0" vertical="center" wrapText="0"/>
    </xf>
    <xf borderId="12" fillId="19" fontId="20" numFmtId="0" xfId="0" applyAlignment="1" applyBorder="1" applyFont="1">
      <alignment shrinkToFit="0" vertical="bottom" wrapText="0"/>
    </xf>
    <xf borderId="9" fillId="20" fontId="81" numFmtId="0" xfId="0" applyAlignment="1" applyBorder="1" applyFill="1" applyFont="1">
      <alignment horizontal="left" shrinkToFit="0" vertical="center" wrapText="0"/>
    </xf>
    <xf borderId="13" fillId="0" fontId="2" numFmtId="0" xfId="0" applyBorder="1" applyFont="1"/>
    <xf borderId="14" fillId="0" fontId="2" numFmtId="0" xfId="0" applyBorder="1" applyFont="1"/>
    <xf borderId="9" fillId="21" fontId="82" numFmtId="0" xfId="0" applyAlignment="1" applyBorder="1" applyFill="1" applyFont="1">
      <alignment horizontal="left" shrinkToFit="0" vertical="center" wrapText="0"/>
    </xf>
    <xf borderId="9" fillId="7" fontId="83" numFmtId="0" xfId="0" applyAlignment="1" applyBorder="1" applyFont="1">
      <alignment horizontal="left" shrinkToFit="0" vertical="center" wrapText="0"/>
    </xf>
    <xf borderId="15" fillId="19" fontId="84" numFmtId="1" xfId="0" applyAlignment="1" applyBorder="1" applyFont="1" applyNumberFormat="1">
      <alignment horizontal="center" shrinkToFit="0" vertical="center" wrapText="0"/>
    </xf>
    <xf borderId="16" fillId="0" fontId="2" numFmtId="0" xfId="0" applyBorder="1" applyFont="1"/>
    <xf borderId="17" fillId="0" fontId="2" numFmtId="0" xfId="0" applyBorder="1" applyFont="1"/>
    <xf borderId="15" fillId="20" fontId="85" numFmtId="1" xfId="0" applyAlignment="1" applyBorder="1" applyFont="1" applyNumberFormat="1">
      <alignment horizontal="center" shrinkToFit="0" vertical="center" wrapText="0"/>
    </xf>
    <xf borderId="15" fillId="21" fontId="86" numFmtId="2" xfId="0" applyAlignment="1" applyBorder="1" applyFont="1" applyNumberFormat="1">
      <alignment horizontal="center" shrinkToFit="0" vertical="center" wrapText="0"/>
    </xf>
    <xf borderId="15" fillId="7" fontId="87" numFmtId="1" xfId="0" applyAlignment="1" applyBorder="1" applyFont="1" applyNumberFormat="1">
      <alignment horizontal="center" shrinkToFit="0" vertical="center" wrapText="0"/>
    </xf>
    <xf borderId="18" fillId="19" fontId="88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20" fillId="0" fontId="2" numFmtId="0" xfId="0" applyBorder="1" applyFont="1"/>
    <xf borderId="18" fillId="20" fontId="89" numFmtId="0" xfId="0" applyAlignment="1" applyBorder="1" applyFont="1">
      <alignment horizontal="center" shrinkToFit="0" vertical="center" wrapText="0"/>
    </xf>
    <xf borderId="18" fillId="21" fontId="90" numFmtId="0" xfId="0" applyAlignment="1" applyBorder="1" applyFont="1">
      <alignment horizontal="center" shrinkToFit="0" vertical="center" wrapText="0"/>
    </xf>
    <xf borderId="18" fillId="7" fontId="91" numFmtId="0" xfId="0" applyAlignment="1" applyBorder="1" applyFont="1">
      <alignment horizontal="center" shrinkToFit="0" vertical="center" wrapText="0"/>
    </xf>
    <xf borderId="21" fillId="16" fontId="92" numFmtId="0" xfId="0" applyAlignment="1" applyBorder="1" applyFont="1">
      <alignment horizontal="left" shrinkToFit="0" vertical="center" wrapText="0"/>
    </xf>
    <xf borderId="22" fillId="0" fontId="2" numFmtId="0" xfId="0" applyBorder="1" applyFont="1"/>
    <xf borderId="23" fillId="0" fontId="2" numFmtId="0" xfId="0" applyBorder="1" applyFont="1"/>
    <xf borderId="21" fillId="3" fontId="93" numFmtId="0" xfId="0" applyAlignment="1" applyBorder="1" applyFont="1">
      <alignment horizontal="left" shrinkToFit="0" vertical="center" wrapText="0"/>
    </xf>
    <xf borderId="24" fillId="18" fontId="94" numFmtId="0" xfId="0" applyAlignment="1" applyBorder="1" applyFont="1">
      <alignment horizontal="left" shrinkToFit="0" vertical="center" wrapText="0"/>
    </xf>
    <xf borderId="24" fillId="18" fontId="95" numFmtId="0" xfId="0" applyAlignment="1" applyBorder="1" applyFont="1">
      <alignment horizontal="center" shrinkToFit="0" vertical="center" wrapText="0"/>
    </xf>
    <xf borderId="24" fillId="18" fontId="96" numFmtId="176" xfId="0" applyAlignment="1" applyBorder="1" applyFont="1" applyNumberFormat="1">
      <alignment horizontal="right" shrinkToFit="0" vertical="center" wrapText="0"/>
    </xf>
    <xf borderId="24" fillId="18" fontId="20" numFmtId="0" xfId="0" applyAlignment="1" applyBorder="1" applyFont="1">
      <alignment shrinkToFit="0" vertical="bottom" wrapText="0"/>
    </xf>
    <xf borderId="8" fillId="7" fontId="94" numFmtId="0" xfId="0" applyAlignment="1" applyBorder="1" applyFont="1">
      <alignment horizontal="left" shrinkToFit="0" vertical="center" wrapText="0"/>
    </xf>
    <xf borderId="8" fillId="7" fontId="97" numFmtId="0" xfId="0" applyAlignment="1" applyBorder="1" applyFont="1">
      <alignment horizontal="center" shrinkToFit="0" vertical="center" wrapText="0"/>
    </xf>
    <xf borderId="8" fillId="7" fontId="96" numFmtId="176" xfId="0" applyAlignment="1" applyBorder="1" applyFont="1" applyNumberFormat="1">
      <alignment horizontal="right" shrinkToFit="0" vertical="center" wrapText="0"/>
    </xf>
    <xf borderId="8" fillId="7" fontId="20" numFmtId="0" xfId="0" applyAlignment="1" applyBorder="1" applyFont="1">
      <alignment shrinkToFit="0" vertical="bottom" wrapText="0"/>
    </xf>
    <xf borderId="8" fillId="19" fontId="94" numFmtId="0" xfId="0" applyAlignment="1" applyBorder="1" applyFont="1">
      <alignment horizontal="left" shrinkToFit="0" vertical="center" wrapText="0"/>
    </xf>
    <xf borderId="8" fillId="19" fontId="98" numFmtId="0" xfId="0" applyAlignment="1" applyBorder="1" applyFont="1">
      <alignment horizontal="center" shrinkToFit="0" vertical="center" wrapText="0"/>
    </xf>
    <xf borderId="8" fillId="19" fontId="96" numFmtId="176" xfId="0" applyAlignment="1" applyBorder="1" applyFont="1" applyNumberFormat="1">
      <alignment horizontal="right" shrinkToFit="0" vertical="center" wrapText="0"/>
    </xf>
    <xf borderId="8" fillId="19" fontId="20" numFmtId="0" xfId="0" applyAlignment="1" applyBorder="1" applyFont="1">
      <alignment shrinkToFit="0" vertical="bottom" wrapText="0"/>
    </xf>
    <xf borderId="24" fillId="19" fontId="94" numFmtId="0" xfId="0" applyAlignment="1" applyBorder="1" applyFont="1">
      <alignment horizontal="left" shrinkToFit="0" vertical="center" wrapText="0"/>
    </xf>
    <xf borderId="24" fillId="19" fontId="98" numFmtId="0" xfId="0" applyAlignment="1" applyBorder="1" applyFont="1">
      <alignment horizontal="center" shrinkToFit="0" vertical="center" wrapText="0"/>
    </xf>
    <xf borderId="24" fillId="19" fontId="96" numFmtId="176" xfId="0" applyAlignment="1" applyBorder="1" applyFont="1" applyNumberFormat="1">
      <alignment horizontal="right" shrinkToFit="0" vertical="center" wrapText="0"/>
    </xf>
    <xf borderId="24" fillId="19" fontId="20" numFmtId="0" xfId="0" applyAlignment="1" applyBorder="1" applyFont="1">
      <alignment shrinkToFit="0" vertical="bottom" wrapText="0"/>
    </xf>
    <xf borderId="8" fillId="21" fontId="94" numFmtId="0" xfId="0" applyAlignment="1" applyBorder="1" applyFont="1">
      <alignment horizontal="left" shrinkToFit="0" vertical="center" wrapText="0"/>
    </xf>
    <xf borderId="8" fillId="21" fontId="99" numFmtId="0" xfId="0" applyAlignment="1" applyBorder="1" applyFont="1">
      <alignment horizontal="center" shrinkToFit="0" vertical="center" wrapText="0"/>
    </xf>
    <xf borderId="8" fillId="21" fontId="96" numFmtId="176" xfId="0" applyAlignment="1" applyBorder="1" applyFont="1" applyNumberFormat="1">
      <alignment horizontal="right" shrinkToFit="0" vertical="center" wrapText="0"/>
    </xf>
    <xf borderId="8" fillId="21" fontId="20" numFmtId="0" xfId="0" applyAlignment="1" applyBorder="1" applyFont="1">
      <alignment shrinkToFit="0" vertical="bottom" wrapText="0"/>
    </xf>
    <xf borderId="8" fillId="20" fontId="94" numFmtId="0" xfId="0" applyAlignment="1" applyBorder="1" applyFont="1">
      <alignment horizontal="left" shrinkToFit="0" vertical="center" wrapText="0"/>
    </xf>
    <xf borderId="8" fillId="20" fontId="100" numFmtId="0" xfId="0" applyAlignment="1" applyBorder="1" applyFont="1">
      <alignment horizontal="center" shrinkToFit="0" vertical="center" wrapText="0"/>
    </xf>
    <xf borderId="8" fillId="20" fontId="96" numFmtId="176" xfId="0" applyAlignment="1" applyBorder="1" applyFont="1" applyNumberFormat="1">
      <alignment horizontal="right" shrinkToFit="0" vertical="center" wrapText="0"/>
    </xf>
    <xf borderId="8" fillId="20" fontId="20" numFmtId="0" xfId="0" applyAlignment="1" applyBorder="1" applyFont="1">
      <alignment shrinkToFit="0" vertical="bottom" wrapText="0"/>
    </xf>
    <xf borderId="24" fillId="21" fontId="94" numFmtId="0" xfId="0" applyAlignment="1" applyBorder="1" applyFont="1">
      <alignment horizontal="left" shrinkToFit="0" vertical="center" wrapText="0"/>
    </xf>
    <xf borderId="24" fillId="21" fontId="101" numFmtId="0" xfId="0" applyAlignment="1" applyBorder="1" applyFont="1">
      <alignment horizontal="center" shrinkToFit="0" vertical="center" wrapText="0"/>
    </xf>
    <xf borderId="24" fillId="21" fontId="96" numFmtId="176" xfId="0" applyAlignment="1" applyBorder="1" applyFont="1" applyNumberFormat="1">
      <alignment horizontal="right" shrinkToFit="0" vertical="center" wrapText="0"/>
    </xf>
    <xf borderId="24" fillId="21" fontId="20" numFmtId="0" xfId="0" applyAlignment="1" applyBorder="1" applyFont="1">
      <alignment shrinkToFit="0" vertical="bottom" wrapText="0"/>
    </xf>
    <xf borderId="8" fillId="18" fontId="94" numFmtId="0" xfId="0" applyAlignment="1" applyBorder="1" applyFont="1">
      <alignment horizontal="left" shrinkToFit="0" vertical="center" wrapText="0"/>
    </xf>
    <xf borderId="8" fillId="18" fontId="98" numFmtId="0" xfId="0" applyAlignment="1" applyBorder="1" applyFont="1">
      <alignment horizontal="center" shrinkToFit="0" vertical="center" wrapText="0"/>
    </xf>
    <xf borderId="8" fillId="18" fontId="96" numFmtId="176" xfId="0" applyAlignment="1" applyBorder="1" applyFont="1" applyNumberFormat="1">
      <alignment horizontal="right" shrinkToFit="0" vertical="center" wrapText="0"/>
    </xf>
    <xf borderId="8" fillId="18" fontId="20" numFmtId="0" xfId="0" applyAlignment="1" applyBorder="1" applyFont="1">
      <alignment shrinkToFit="0" vertical="bottom" wrapText="0"/>
    </xf>
    <xf borderId="24" fillId="20" fontId="94" numFmtId="0" xfId="0" applyAlignment="1" applyBorder="1" applyFont="1">
      <alignment horizontal="left" shrinkToFit="0" vertical="center" wrapText="0"/>
    </xf>
    <xf borderId="24" fillId="20" fontId="100" numFmtId="0" xfId="0" applyAlignment="1" applyBorder="1" applyFont="1">
      <alignment horizontal="center" shrinkToFit="0" vertical="center" wrapText="0"/>
    </xf>
    <xf borderId="24" fillId="20" fontId="96" numFmtId="176" xfId="0" applyAlignment="1" applyBorder="1" applyFont="1" applyNumberFormat="1">
      <alignment horizontal="right" shrinkToFit="0" vertical="center" wrapText="0"/>
    </xf>
    <xf borderId="24" fillId="20" fontId="20" numFmtId="0" xfId="0" applyAlignment="1" applyBorder="1" applyFont="1">
      <alignment shrinkToFit="0" vertical="bottom" wrapText="0"/>
    </xf>
    <xf borderId="8" fillId="18" fontId="102" numFmtId="0" xfId="0" applyAlignment="1" applyBorder="1" applyFont="1">
      <alignment horizontal="center" shrinkToFit="0" vertical="center" wrapText="0"/>
    </xf>
    <xf borderId="24" fillId="22" fontId="94" numFmtId="0" xfId="0" applyAlignment="1" applyBorder="1" applyFill="1" applyFont="1">
      <alignment horizontal="left" shrinkToFit="0" vertical="center" wrapText="0"/>
    </xf>
    <xf borderId="24" fillId="22" fontId="103" numFmtId="0" xfId="0" applyAlignment="1" applyBorder="1" applyFont="1">
      <alignment horizontal="center" shrinkToFit="0" vertical="center" wrapText="0"/>
    </xf>
    <xf borderId="24" fillId="22" fontId="96" numFmtId="176" xfId="0" applyAlignment="1" applyBorder="1" applyFont="1" applyNumberFormat="1">
      <alignment horizontal="right" shrinkToFit="0" vertical="center" wrapText="0"/>
    </xf>
    <xf borderId="24" fillId="22" fontId="20" numFmtId="0" xfId="0" applyAlignment="1" applyBorder="1" applyFont="1">
      <alignment shrinkToFit="0" vertical="bottom" wrapText="0"/>
    </xf>
    <xf borderId="24" fillId="7" fontId="94" numFmtId="0" xfId="0" applyAlignment="1" applyBorder="1" applyFont="1">
      <alignment horizontal="left" shrinkToFit="0" vertical="center" wrapText="0"/>
    </xf>
    <xf borderId="24" fillId="7" fontId="97" numFmtId="0" xfId="0" applyAlignment="1" applyBorder="1" applyFont="1">
      <alignment horizontal="center" shrinkToFit="0" vertical="center" wrapText="0"/>
    </xf>
    <xf borderId="24" fillId="7" fontId="96" numFmtId="176" xfId="0" applyAlignment="1" applyBorder="1" applyFont="1" applyNumberFormat="1">
      <alignment horizontal="right" shrinkToFit="0" vertical="center" wrapText="0"/>
    </xf>
    <xf borderId="24" fillId="7" fontId="20" numFmtId="0" xfId="0" applyAlignment="1" applyBorder="1" applyFont="1">
      <alignment shrinkToFit="0" vertical="bottom" wrapText="0"/>
    </xf>
    <xf borderId="8" fillId="17" fontId="104" numFmtId="0" xfId="0" applyAlignment="1" applyBorder="1" applyFont="1">
      <alignment horizontal="left" shrinkToFit="0" vertical="center" wrapText="0"/>
    </xf>
    <xf borderId="8" fillId="17" fontId="105" numFmtId="0" xfId="0" applyAlignment="1" applyBorder="1" applyFont="1">
      <alignment horizontal="center" shrinkToFit="0" vertical="center" wrapText="0"/>
    </xf>
    <xf borderId="8" fillId="17" fontId="96" numFmtId="0" xfId="0" applyAlignment="1" applyBorder="1" applyFont="1">
      <alignment horizontal="right" shrinkToFit="0" vertical="center" wrapText="0"/>
    </xf>
    <xf borderId="21" fillId="16" fontId="93" numFmtId="0" xfId="0" applyAlignment="1" applyBorder="1" applyFont="1">
      <alignment horizontal="left" shrinkToFit="0" vertical="center" wrapText="0"/>
    </xf>
    <xf borderId="25" fillId="23" fontId="92" numFmtId="0" xfId="0" applyAlignment="1" applyBorder="1" applyFill="1" applyFont="1">
      <alignment horizontal="center" shrinkToFit="0" vertical="center" wrapText="0"/>
    </xf>
    <xf borderId="25" fillId="24" fontId="106" numFmtId="0" xfId="0" applyAlignment="1" applyBorder="1" applyFill="1" applyFont="1">
      <alignment horizontal="left" shrinkToFit="0" vertical="center" wrapText="0"/>
    </xf>
    <xf borderId="25" fillId="24" fontId="107" numFmtId="0" xfId="0" applyAlignment="1" applyBorder="1" applyFont="1">
      <alignment horizontal="center" shrinkToFit="0" vertical="center" wrapText="0"/>
    </xf>
    <xf borderId="25" fillId="24" fontId="107" numFmtId="1" xfId="0" applyAlignment="1" applyBorder="1" applyFont="1" applyNumberFormat="1">
      <alignment horizontal="center" shrinkToFit="0" vertical="center" wrapText="0"/>
    </xf>
    <xf borderId="25" fillId="24" fontId="105" numFmtId="0" xfId="0" applyAlignment="1" applyBorder="1" applyFont="1">
      <alignment horizontal="center" shrinkToFit="0" vertical="center" wrapText="0"/>
    </xf>
    <xf borderId="25" fillId="24" fontId="108" numFmtId="0" xfId="0" applyAlignment="1" applyBorder="1" applyFont="1">
      <alignment horizontal="center" shrinkToFit="0" vertical="center" wrapText="0"/>
    </xf>
    <xf borderId="25" fillId="24" fontId="106" numFmtId="2" xfId="0" applyAlignment="1" applyBorder="1" applyFont="1" applyNumberFormat="1">
      <alignment horizontal="center" shrinkToFit="0" vertical="center" wrapText="0"/>
    </xf>
    <xf borderId="25" fillId="24" fontId="109" numFmtId="1" xfId="0" applyAlignment="1" applyBorder="1" applyFont="1" applyNumberFormat="1">
      <alignment horizontal="center" shrinkToFit="0" vertical="center" wrapText="0"/>
    </xf>
    <xf borderId="25" fillId="24" fontId="108" numFmtId="177" xfId="0" applyAlignment="1" applyBorder="1" applyFont="1" applyNumberFormat="1">
      <alignment horizontal="center" shrinkToFit="0" vertical="center" wrapText="0"/>
    </xf>
    <xf borderId="25" fillId="24" fontId="106" numFmtId="176" xfId="0" applyAlignment="1" applyBorder="1" applyFont="1" applyNumberFormat="1">
      <alignment horizontal="center" shrinkToFit="0" vertical="center" wrapText="0"/>
    </xf>
    <xf borderId="25" fillId="24" fontId="80" numFmtId="0" xfId="0" applyAlignment="1" applyBorder="1" applyFont="1">
      <alignment horizontal="center" shrinkToFit="0" vertical="center" wrapText="0"/>
    </xf>
    <xf borderId="25" fillId="13" fontId="106" numFmtId="0" xfId="0" applyAlignment="1" applyBorder="1" applyFont="1">
      <alignment horizontal="left" shrinkToFit="0" vertical="center" wrapText="0"/>
    </xf>
    <xf borderId="25" fillId="13" fontId="107" numFmtId="0" xfId="0" applyAlignment="1" applyBorder="1" applyFont="1">
      <alignment horizontal="center" shrinkToFit="0" vertical="center" wrapText="0"/>
    </xf>
    <xf borderId="25" fillId="13" fontId="107" numFmtId="1" xfId="0" applyAlignment="1" applyBorder="1" applyFont="1" applyNumberFormat="1">
      <alignment horizontal="center" shrinkToFit="0" vertical="center" wrapText="0"/>
    </xf>
    <xf borderId="25" fillId="13" fontId="105" numFmtId="0" xfId="0" applyAlignment="1" applyBorder="1" applyFont="1">
      <alignment horizontal="center" shrinkToFit="0" vertical="center" wrapText="0"/>
    </xf>
    <xf borderId="25" fillId="13" fontId="108" numFmtId="0" xfId="0" applyAlignment="1" applyBorder="1" applyFont="1">
      <alignment horizontal="center" shrinkToFit="0" vertical="center" wrapText="0"/>
    </xf>
    <xf borderId="25" fillId="13" fontId="106" numFmtId="2" xfId="0" applyAlignment="1" applyBorder="1" applyFont="1" applyNumberFormat="1">
      <alignment horizontal="center" shrinkToFit="0" vertical="center" wrapText="0"/>
    </xf>
    <xf borderId="25" fillId="13" fontId="109" numFmtId="1" xfId="0" applyAlignment="1" applyBorder="1" applyFont="1" applyNumberFormat="1">
      <alignment horizontal="center" shrinkToFit="0" vertical="center" wrapText="0"/>
    </xf>
    <xf borderId="25" fillId="13" fontId="108" numFmtId="177" xfId="0" applyAlignment="1" applyBorder="1" applyFont="1" applyNumberFormat="1">
      <alignment horizontal="center" shrinkToFit="0" vertical="center" wrapText="0"/>
    </xf>
    <xf borderId="25" fillId="13" fontId="106" numFmtId="176" xfId="0" applyAlignment="1" applyBorder="1" applyFont="1" applyNumberFormat="1">
      <alignment horizontal="center" shrinkToFit="0" vertical="center" wrapText="0"/>
    </xf>
    <xf borderId="25" fillId="13" fontId="80" numFmtId="0" xfId="0" applyAlignment="1" applyBorder="1" applyFont="1">
      <alignment horizontal="center" shrinkToFit="0" vertical="center" wrapText="0"/>
    </xf>
    <xf borderId="25" fillId="24" fontId="107" numFmtId="0" xfId="0" applyAlignment="1" applyBorder="1" applyFont="1">
      <alignment horizontal="center" readingOrder="0" shrinkToFit="0" vertical="center" wrapText="0"/>
    </xf>
    <xf borderId="26" fillId="17" fontId="106" numFmtId="0" xfId="0" applyAlignment="1" applyBorder="1" applyFont="1">
      <alignment horizontal="left" shrinkToFit="0" vertical="center" wrapText="0"/>
    </xf>
    <xf borderId="26" fillId="17" fontId="106" numFmtId="0" xfId="0" applyAlignment="1" applyBorder="1" applyFont="1">
      <alignment horizontal="center" shrinkToFit="0" vertical="center" wrapText="0"/>
    </xf>
    <xf borderId="26" fillId="17" fontId="106" numFmtId="1" xfId="0" applyAlignment="1" applyBorder="1" applyFont="1" applyNumberFormat="1">
      <alignment horizontal="center" shrinkToFit="0" vertical="center" wrapText="0"/>
    </xf>
    <xf borderId="26" fillId="17" fontId="110" numFmtId="0" xfId="0" applyAlignment="1" applyBorder="1" applyFont="1">
      <alignment horizontal="center" shrinkToFit="0" vertical="center" wrapText="0"/>
    </xf>
    <xf borderId="26" fillId="17" fontId="106" numFmtId="2" xfId="0" applyAlignment="1" applyBorder="1" applyFont="1" applyNumberFormat="1">
      <alignment horizontal="center" shrinkToFit="0" vertical="center" wrapText="0"/>
    </xf>
    <xf borderId="26" fillId="17" fontId="111" numFmtId="1" xfId="0" applyAlignment="1" applyBorder="1" applyFont="1" applyNumberFormat="1">
      <alignment horizontal="center" shrinkToFit="0" vertical="center" wrapText="0"/>
    </xf>
    <xf borderId="26" fillId="17" fontId="110" numFmtId="177" xfId="0" applyAlignment="1" applyBorder="1" applyFont="1" applyNumberFormat="1">
      <alignment horizontal="center" shrinkToFit="0" vertical="center" wrapText="0"/>
    </xf>
    <xf borderId="26" fillId="17" fontId="112" numFmtId="0" xfId="0" applyAlignment="1" applyBorder="1" applyFont="1">
      <alignment horizontal="center" shrinkToFit="0" vertical="center" wrapText="0"/>
    </xf>
    <xf borderId="26" fillId="17" fontId="106" numFmtId="176" xfId="0" applyAlignment="1" applyBorder="1" applyFont="1" applyNumberFormat="1">
      <alignment horizontal="center" shrinkToFit="0" vertical="center" wrapText="0"/>
    </xf>
    <xf borderId="26" fillId="17" fontId="20" numFmtId="0" xfId="0" applyAlignment="1" applyBorder="1" applyFont="1">
      <alignment shrinkToFit="0" vertical="bottom" wrapText="0"/>
    </xf>
    <xf borderId="25" fillId="3" fontId="92" numFmtId="0" xfId="0" applyAlignment="1" applyBorder="1" applyFont="1">
      <alignment horizontal="center" shrinkToFit="0" vertical="center" wrapText="0"/>
    </xf>
    <xf borderId="25" fillId="3" fontId="92" numFmtId="0" xfId="0" applyAlignment="1" applyBorder="1" applyFont="1">
      <alignment horizontal="center" shrinkToFit="0" vertical="center" wrapText="1"/>
    </xf>
    <xf borderId="0" fillId="0" fontId="78" numFmtId="0" xfId="0" applyAlignment="1" applyFont="1">
      <alignment shrinkToFit="0" vertical="bottom" wrapText="0"/>
    </xf>
    <xf borderId="25" fillId="25" fontId="106" numFmtId="0" xfId="0" applyAlignment="1" applyBorder="1" applyFill="1" applyFont="1">
      <alignment horizontal="left" shrinkToFit="0" vertical="center" wrapText="0"/>
    </xf>
    <xf borderId="25" fillId="25" fontId="107" numFmtId="0" xfId="0" applyAlignment="1" applyBorder="1" applyFont="1">
      <alignment horizontal="center" shrinkToFit="0" vertical="center" wrapText="0"/>
    </xf>
    <xf borderId="25" fillId="25" fontId="111" numFmtId="0" xfId="0" applyAlignment="1" applyBorder="1" applyFont="1">
      <alignment horizontal="center" shrinkToFit="0" vertical="center" wrapText="0"/>
    </xf>
    <xf borderId="25" fillId="25" fontId="113" numFmtId="0" xfId="0" applyAlignment="1" applyBorder="1" applyFont="1">
      <alignment horizontal="center" shrinkToFit="0" vertical="center" wrapText="0"/>
    </xf>
    <xf borderId="25" fillId="25" fontId="114" numFmtId="0" xfId="0" applyAlignment="1" applyBorder="1" applyFont="1">
      <alignment horizontal="center" shrinkToFit="0" vertical="center" wrapText="0"/>
    </xf>
    <xf borderId="25" fillId="20" fontId="110" numFmtId="0" xfId="0" applyAlignment="1" applyBorder="1" applyFont="1">
      <alignment horizontal="center" shrinkToFit="0" vertical="center" wrapText="0"/>
    </xf>
    <xf borderId="25" fillId="25" fontId="108" numFmtId="177" xfId="0" applyAlignment="1" applyBorder="1" applyFont="1" applyNumberFormat="1">
      <alignment horizontal="center" shrinkToFit="0" vertical="center" wrapText="0"/>
    </xf>
    <xf borderId="25" fillId="25" fontId="108" numFmtId="0" xfId="0" applyAlignment="1" applyBorder="1" applyFont="1">
      <alignment horizontal="center" shrinkToFit="0" vertical="center" wrapText="0"/>
    </xf>
    <xf borderId="0" fillId="0" fontId="7" numFmtId="0" xfId="0" applyFont="1"/>
    <xf borderId="0" fillId="0" fontId="20" numFmtId="1" xfId="0" applyAlignment="1" applyFont="1" applyNumberFormat="1">
      <alignment shrinkToFit="0" vertical="bottom" wrapText="0"/>
    </xf>
    <xf borderId="0" fillId="0" fontId="20" numFmtId="2" xfId="0" applyAlignment="1" applyFont="1" applyNumberFormat="1">
      <alignment shrinkToFit="0" vertical="bottom" wrapText="0"/>
    </xf>
    <xf borderId="25" fillId="13" fontId="111" numFmtId="0" xfId="0" applyAlignment="1" applyBorder="1" applyFont="1">
      <alignment horizontal="center" shrinkToFit="0" vertical="center" wrapText="0"/>
    </xf>
    <xf borderId="25" fillId="13" fontId="113" numFmtId="0" xfId="0" applyAlignment="1" applyBorder="1" applyFont="1">
      <alignment horizontal="center" shrinkToFit="0" vertical="center" wrapText="0"/>
    </xf>
    <xf borderId="25" fillId="13" fontId="114" numFmtId="0" xfId="0" applyAlignment="1" applyBorder="1" applyFont="1">
      <alignment horizontal="center" shrinkToFit="0" vertical="center" wrapText="0"/>
    </xf>
    <xf borderId="25" fillId="26" fontId="110" numFmtId="0" xfId="0" applyAlignment="1" applyBorder="1" applyFill="1" applyFont="1">
      <alignment horizontal="center" shrinkToFit="0" vertical="center" wrapText="0"/>
    </xf>
    <xf borderId="5" fillId="18" fontId="115" numFmtId="0" xfId="0" applyAlignment="1" applyBorder="1" applyFont="1">
      <alignment horizontal="left" shrinkToFit="0" vertical="center" wrapText="0"/>
    </xf>
    <xf borderId="4" fillId="8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2" fontId="9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Published vs Annual Target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Published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Analytics!$W$45:$W$54</c:f>
            </c:strRef>
          </c:cat>
          <c:val>
            <c:numRef>
              <c:f>Analytics!$X$44:$X$54</c:f>
              <c:numCache/>
            </c:numRef>
          </c:val>
        </c:ser>
        <c:ser>
          <c:idx val="1"/>
          <c:order val="1"/>
          <c:tx>
            <c:v>Annual Target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Analytics!$W$45:$W$54</c:f>
            </c:strRef>
          </c:cat>
          <c:val>
            <c:numRef>
              <c:f>Analytics!$Y$44:$Y$54</c:f>
              <c:numCache/>
            </c:numRef>
          </c:val>
        </c:ser>
        <c:axId val="1695301480"/>
        <c:axId val="2094050140"/>
      </c:barChart>
      <c:catAx>
        <c:axId val="169530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4050140"/>
      </c:catAx>
      <c:valAx>
        <c:axId val="2094050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Papers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9530148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Publication Rate (Papers per Faculty)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Pub/Faculty</c:v>
          </c:tx>
          <c:spPr>
            <a:solidFill>
              <a:srgbClr val="1A7A5E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Analytics!$W$45:$W$54</c:f>
            </c:strRef>
          </c:cat>
          <c:val>
            <c:numRef>
              <c:f>Analytics!$Z$44:$Z$54</c:f>
              <c:numCache/>
            </c:numRef>
          </c:val>
        </c:ser>
        <c:ser>
          <c:idx val="1"/>
          <c:order val="1"/>
          <c:cat>
            <c:strRef>
              <c:f>Analytics!$W$45:$W$54</c:f>
            </c:strRef>
          </c:cat>
          <c:val>
            <c:numRef>
              <c:f>Analytics!$AA$44:$AA$54</c:f>
              <c:numCache/>
            </c:numRef>
          </c:val>
        </c:ser>
        <c:axId val="177559099"/>
        <c:axId val="957767715"/>
      </c:barChart>
      <c:catAx>
        <c:axId val="177559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7767715"/>
      </c:catAx>
      <c:valAx>
        <c:axId val="957767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75590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52</xdr:row>
      <xdr:rowOff>28575</xdr:rowOff>
    </xdr:from>
    <xdr:ext cx="5448300" cy="4314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34</xdr:row>
      <xdr:rowOff>247650</xdr:rowOff>
    </xdr:from>
    <xdr:ext cx="5476875" cy="4314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8280/jesa.590122" TargetMode="External"/><Relationship Id="rId42" Type="http://schemas.openxmlformats.org/officeDocument/2006/relationships/hyperlink" Target="https://doi.org/10.1590/1517-7076-RMAT-2025-0689" TargetMode="External"/><Relationship Id="rId41" Type="http://schemas.openxmlformats.org/officeDocument/2006/relationships/hyperlink" Target="https://doi.org/10.1177/07316844261424670" TargetMode="External"/><Relationship Id="rId44" Type="http://schemas.openxmlformats.org/officeDocument/2006/relationships/hyperlink" Target="https://doi.org/10.1515/ntrev-2025-0235" TargetMode="External"/><Relationship Id="rId43" Type="http://schemas.openxmlformats.org/officeDocument/2006/relationships/hyperlink" Target="https://doi.org/10.24874/ti.2026.09.25.12" TargetMode="External"/><Relationship Id="rId46" Type="http://schemas.openxmlformats.org/officeDocument/2006/relationships/hyperlink" Target="https://doi.org/10.1007/s12524-024-01881-7" TargetMode="External"/><Relationship Id="rId45" Type="http://schemas.openxmlformats.org/officeDocument/2006/relationships/hyperlink" Target="https://link.springer.com/chapter/10.1007/978-981-95-2901-8_16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://dx.doi.org/10.1201/9781003559139-52" TargetMode="External"/><Relationship Id="rId2" Type="http://schemas.openxmlformats.org/officeDocument/2006/relationships/hyperlink" Target="https://doi.org/10.1007/978-981-95-2901-8_3" TargetMode="External"/><Relationship Id="rId3" Type="http://schemas.openxmlformats.org/officeDocument/2006/relationships/hyperlink" Target="http://lanshscience.com/" TargetMode="External"/><Relationship Id="rId4" Type="http://schemas.openxmlformats.org/officeDocument/2006/relationships/hyperlink" Target="https://ieeexplore.ieee.org/stamp/stamp.jsp?tp=&amp;arnumber=11008573" TargetMode="External"/><Relationship Id="rId9" Type="http://schemas.openxmlformats.org/officeDocument/2006/relationships/hyperlink" Target="https://doi.org/10.1016/j.eurpolymj.2025.113809" TargetMode="External"/><Relationship Id="rId48" Type="http://schemas.openxmlformats.org/officeDocument/2006/relationships/hyperlink" Target="https://doi.org/10.1007/s11069-024-07019-9" TargetMode="External"/><Relationship Id="rId47" Type="http://schemas.openxmlformats.org/officeDocument/2006/relationships/hyperlink" Target="https://doi.org/10.1007/s12518-024-00606-2" TargetMode="External"/><Relationship Id="rId49" Type="http://schemas.openxmlformats.org/officeDocument/2006/relationships/hyperlink" Target="https://doi.org/10.1007/978-3-031-97709-1_26" TargetMode="External"/><Relationship Id="rId5" Type="http://schemas.openxmlformats.org/officeDocument/2006/relationships/hyperlink" Target="https://doi.org/10.1109/DevIC63749.2025.11012243" TargetMode="External"/><Relationship Id="rId6" Type="http://schemas.openxmlformats.org/officeDocument/2006/relationships/hyperlink" Target="https://scholar.google.com/scholar?oi=bibs&amp;cluster=4618592191113981194&amp;btnI=1&amp;hl=en" TargetMode="External"/><Relationship Id="rId7" Type="http://schemas.openxmlformats.org/officeDocument/2006/relationships/hyperlink" Target="https://doi.org/10.1002/9781394307340.ch1" TargetMode="External"/><Relationship Id="rId8" Type="http://schemas.openxmlformats.org/officeDocument/2006/relationships/hyperlink" Target="https://doi.org/10.1016/B978-0-443-34090-1.00007-5" TargetMode="External"/><Relationship Id="rId73" Type="http://schemas.openxmlformats.org/officeDocument/2006/relationships/hyperlink" Target="https://search.ebscohost.com/login.aspx?direct=true&amp;profile=ehost&amp;scope=site&amp;authtype=crawler&amp;jrnl=00222755&amp;AN=190048537&amp;h=sc3BYnsyLTbFbKw%2FX6kZhJ45Ikn1JClK6NRhTG%2BtxnR57ut9VoPM3eY5ocr8UWK3MmJ7OEzejGuczTzbElpkxg%3D%3D&amp;crl=c" TargetMode="External"/><Relationship Id="rId72" Type="http://schemas.openxmlformats.org/officeDocument/2006/relationships/hyperlink" Target="http://dx.doi.org/10.17515/resm2024.328me0621rs" TargetMode="External"/><Relationship Id="rId31" Type="http://schemas.openxmlformats.org/officeDocument/2006/relationships/hyperlink" Target="https://doi.org/10.1016/B978-0-44-330259-6.00012-8" TargetMode="External"/><Relationship Id="rId75" Type="http://schemas.openxmlformats.org/officeDocument/2006/relationships/hyperlink" Target="https://search.ebscohost.com/login.aspx?direct=true&amp;profile=ehost&amp;scope=site&amp;authtype=crawler&amp;jrnl=00222755&amp;AN=186297001&amp;h=nuOPDgsx13YhzWUOu%2BctfGVHGhiUkKnK%2FlfEFP46yCxotTWMseYdCyi4GDH3PqyssdDyyDU9oXWJThwFBVIxfw%3D%3D&amp;crl=c" TargetMode="External"/><Relationship Id="rId30" Type="http://schemas.openxmlformats.org/officeDocument/2006/relationships/hyperlink" Target="https://www.sciencedirect.com/book/9780443302596/quantum-computational-ai" TargetMode="External"/><Relationship Id="rId74" Type="http://schemas.openxmlformats.org/officeDocument/2006/relationships/hyperlink" Target="https://search.ebscohost.com/login.aspx?direct=true&amp;profile=ehost&amp;scope=site&amp;authtype=crawler&amp;jrnl=00222755&amp;AN=189614455&amp;h=6Xl9%2FLIuWxjdlJPXT2NFdXrl2dTXNXgnfjeC8zCA%2B2fX3m%2FykfenA%2FCp8rRhQh6xgAHJ8ijNkQ9WR9c93kGlxQ%3D%3D&amp;crl=c" TargetMode="External"/><Relationship Id="rId33" Type="http://schemas.openxmlformats.org/officeDocument/2006/relationships/hyperlink" Target="https://doi.org/10.18280/isi.301016" TargetMode="External"/><Relationship Id="rId77" Type="http://schemas.openxmlformats.org/officeDocument/2006/relationships/hyperlink" Target="https://doi.org/10.1007/978-981-97-4650-7_14" TargetMode="External"/><Relationship Id="rId32" Type="http://schemas.openxmlformats.org/officeDocument/2006/relationships/hyperlink" Target="https://doi.org/10.48084/etasr.15627" TargetMode="External"/><Relationship Id="rId76" Type="http://schemas.openxmlformats.org/officeDocument/2006/relationships/hyperlink" Target="https://doi.org/10.1515/ntrev-2025-0235" TargetMode="External"/><Relationship Id="rId35" Type="http://schemas.openxmlformats.org/officeDocument/2006/relationships/hyperlink" Target="https://doi.org/10.1007/s42979-025-04361-y" TargetMode="External"/><Relationship Id="rId79" Type="http://schemas.openxmlformats.org/officeDocument/2006/relationships/hyperlink" Target="https://doi.org/10.13189/cea.2026.140243" TargetMode="External"/><Relationship Id="rId34" Type="http://schemas.openxmlformats.org/officeDocument/2006/relationships/hyperlink" Target="https://doi.org/10.18280/jesa.581016" TargetMode="External"/><Relationship Id="rId78" Type="http://schemas.openxmlformats.org/officeDocument/2006/relationships/hyperlink" Target="https://doi.org/10.1007/978-981-96-7971-3_4" TargetMode="External"/><Relationship Id="rId71" Type="http://schemas.openxmlformats.org/officeDocument/2006/relationships/hyperlink" Target="https://jresm.org/wp-content/uploads/3-resm2024.328me0621rs.pdf" TargetMode="External"/><Relationship Id="rId70" Type="http://schemas.openxmlformats.org/officeDocument/2006/relationships/hyperlink" Target="https://search.ebscohost.com/login.aspx?direct=true&amp;profile=ehost&amp;scope=site&amp;authtype=crawler&amp;jrnl=00222755&amp;AN=186296984&amp;h=v3yVZVQuyivc8J9rLg%2BeO0COrfwkSGks%2BMjOrKUnN%2FvJ4I3e%2B3C2s%2BhNFoxDXKr4oGpSdwTOe6h5z5lAiqecRg%3D%3D&amp;crl=c" TargetMode="External"/><Relationship Id="rId37" Type="http://schemas.openxmlformats.org/officeDocument/2006/relationships/hyperlink" Target="https://doi.org/10.1201/9781003610373" TargetMode="External"/><Relationship Id="rId36" Type="http://schemas.openxmlformats.org/officeDocument/2006/relationships/hyperlink" Target="https://doi.org/10.1007/978-981-95-2901-8_11" TargetMode="External"/><Relationship Id="rId39" Type="http://schemas.openxmlformats.org/officeDocument/2006/relationships/hyperlink" Target="https://ieeexplore.ieee.org/abstract/document/11411550/" TargetMode="External"/><Relationship Id="rId38" Type="http://schemas.openxmlformats.org/officeDocument/2006/relationships/hyperlink" Target="https://doi.org/10.1007/978-981-95-3218-6_19" TargetMode="External"/><Relationship Id="rId62" Type="http://schemas.openxmlformats.org/officeDocument/2006/relationships/hyperlink" Target="https://link.springer.com/article/10.1007/s40033-023-00529-z" TargetMode="External"/><Relationship Id="rId61" Type="http://schemas.openxmlformats.org/officeDocument/2006/relationships/hyperlink" Target="https://doi.org/10.1039/D5TB01105A" TargetMode="External"/><Relationship Id="rId20" Type="http://schemas.openxmlformats.org/officeDocument/2006/relationships/hyperlink" Target="https://doi.org/10.1007/s41870-025-02993-0" TargetMode="External"/><Relationship Id="rId64" Type="http://schemas.openxmlformats.org/officeDocument/2006/relationships/hyperlink" Target="https://ieeexplore.ieee.org/document/10397814" TargetMode="External"/><Relationship Id="rId63" Type="http://schemas.openxmlformats.org/officeDocument/2006/relationships/hyperlink" Target="https://www.taylorfrancis.com/chapters/edit/10.1201/9781032713229-42/investigative-studies-damage-mechanics-base-iron-metals-chethan-ravikumar-hemaraju-jayashree-kumar-santhosh" TargetMode="External"/><Relationship Id="rId22" Type="http://schemas.openxmlformats.org/officeDocument/2006/relationships/hyperlink" Target="https://link.springer.com/chapter/10.1007/978-981-96-5423-9_9" TargetMode="External"/><Relationship Id="rId66" Type="http://schemas.openxmlformats.org/officeDocument/2006/relationships/hyperlink" Target="https://doi.org/10.1007/978-981-95-2901-8_18" TargetMode="External"/><Relationship Id="rId21" Type="http://schemas.openxmlformats.org/officeDocument/2006/relationships/hyperlink" Target="https://doi.org/10.1021/acsabm.5c00770" TargetMode="External"/><Relationship Id="rId65" Type="http://schemas.openxmlformats.org/officeDocument/2006/relationships/hyperlink" Target="https://doi.org/10.1080/00207454.2026.2644529" TargetMode="External"/><Relationship Id="rId24" Type="http://schemas.openxmlformats.org/officeDocument/2006/relationships/hyperlink" Target="https://doi.org/10.1016/j.inoche.2025.115729" TargetMode="External"/><Relationship Id="rId68" Type="http://schemas.openxmlformats.org/officeDocument/2006/relationships/hyperlink" Target="https://doi.org/10.1088/2053-1591/ae1889" TargetMode="External"/><Relationship Id="rId23" Type="http://schemas.openxmlformats.org/officeDocument/2006/relationships/hyperlink" Target="https://doi.org/10.1002/app.70392" TargetMode="External"/><Relationship Id="rId67" Type="http://schemas.openxmlformats.org/officeDocument/2006/relationships/hyperlink" Target="https://iopscience.iop.org/article/10.1088/2053-1591/ae1889/meta" TargetMode="External"/><Relationship Id="rId60" Type="http://schemas.openxmlformats.org/officeDocument/2006/relationships/hyperlink" Target="https://doi.org/10.1016/j.eurpolymj.2025.114161" TargetMode="External"/><Relationship Id="rId26" Type="http://schemas.openxmlformats.org/officeDocument/2006/relationships/hyperlink" Target="https://doi.org/10.1080/10426507.2025.2606126" TargetMode="External"/><Relationship Id="rId25" Type="http://schemas.openxmlformats.org/officeDocument/2006/relationships/hyperlink" Target="https://doi.org/10.33263/BRIAC161.027" TargetMode="External"/><Relationship Id="rId69" Type="http://schemas.openxmlformats.org/officeDocument/2006/relationships/hyperlink" Target="https://scholar.google.com/citations?view_op=view_citation&amp;hl=en&amp;user=117frvsAAAAJ&amp;authuser=1&amp;citation_for_view=117frvsAAAAJ:D03iK_w7-QYC" TargetMode="External"/><Relationship Id="rId28" Type="http://schemas.openxmlformats.org/officeDocument/2006/relationships/hyperlink" Target="https://doi.org/10.1007/s42979-026-04758-3" TargetMode="External"/><Relationship Id="rId27" Type="http://schemas.openxmlformats.org/officeDocument/2006/relationships/hyperlink" Target="https://doi.org/10.1007/s11581-025-06684-5" TargetMode="External"/><Relationship Id="rId29" Type="http://schemas.openxmlformats.org/officeDocument/2006/relationships/hyperlink" Target="https://scholar.google.com/citations?view_op=view_citation&amp;hl=en&amp;user=MNUsfVsAAAAJ&amp;sortby=pubdate&amp;citation_for_view=MNUsfVsAAAAJ:_kc_bZDykSQC" TargetMode="External"/><Relationship Id="rId51" Type="http://schemas.openxmlformats.org/officeDocument/2006/relationships/hyperlink" Target="https://www.routledge.com/Intelligent-Control-and-Design-of-Converters-for-Renewable-Energy-Sources-and-Electric-Vehicle-Applications/Raushan-Ahmad-Behera-Kannan-Das/p/book/9781032849591" TargetMode="External"/><Relationship Id="rId50" Type="http://schemas.openxmlformats.org/officeDocument/2006/relationships/hyperlink" Target="https://www.routledge.com/search?author=Ravi%20Raushan" TargetMode="External"/><Relationship Id="rId53" Type="http://schemas.openxmlformats.org/officeDocument/2006/relationships/hyperlink" Target="https://ieeexplore.ieee.org/stampPDF/getPDF.jsp?tp=&amp;arnumber=10911341&amp;ref=aHR0cHM6Ly9pZWVleHBsb3JlLmllZWUub3JnL2RvY3VtZW50LzEwOTExMzQx" TargetMode="External"/><Relationship Id="rId52" Type="http://schemas.openxmlformats.org/officeDocument/2006/relationships/hyperlink" Target="https://doi.org/10.1002%2Fadc2.70031" TargetMode="External"/><Relationship Id="rId11" Type="http://schemas.openxmlformats.org/officeDocument/2006/relationships/hyperlink" Target="http://doi.org/10.11591/ijece.v15i1.pp700-710" TargetMode="External"/><Relationship Id="rId55" Type="http://schemas.openxmlformats.org/officeDocument/2006/relationships/hyperlink" Target="https://doi.org/10.1080/19392699.2025.2473400" TargetMode="External"/><Relationship Id="rId10" Type="http://schemas.openxmlformats.org/officeDocument/2006/relationships/hyperlink" Target="https://doi.org/10.1016/j.mssp.2025.109484" TargetMode="External"/><Relationship Id="rId54" Type="http://schemas.openxmlformats.org/officeDocument/2006/relationships/hyperlink" Target="https://ieeexplore.ieee.org/author/37089259310" TargetMode="External"/><Relationship Id="rId13" Type="http://schemas.openxmlformats.org/officeDocument/2006/relationships/hyperlink" Target="https://doi.org/10.1109/csitss67709.2025.11295786" TargetMode="External"/><Relationship Id="rId57" Type="http://schemas.openxmlformats.org/officeDocument/2006/relationships/hyperlink" Target="https://doi.org/10.1016/j.jece.2025.119249" TargetMode="External"/><Relationship Id="rId12" Type="http://schemas.openxmlformats.org/officeDocument/2006/relationships/hyperlink" Target="https://doi.org/10.1007/978-981-96-4430-8_10" TargetMode="External"/><Relationship Id="rId56" Type="http://schemas.openxmlformats.org/officeDocument/2006/relationships/hyperlink" Target="https://www.sciencedirect.com/journal/journal-of-environmental-chemical-engineering" TargetMode="External"/><Relationship Id="rId15" Type="http://schemas.openxmlformats.org/officeDocument/2006/relationships/hyperlink" Target="https://ieeexplore.ieee.org/abstract/document/11278464" TargetMode="External"/><Relationship Id="rId59" Type="http://schemas.openxmlformats.org/officeDocument/2006/relationships/hyperlink" Target="https://doi.org/10.1007/s41204-025-00407-x" TargetMode="External"/><Relationship Id="rId14" Type="http://schemas.openxmlformats.org/officeDocument/2006/relationships/hyperlink" Target="https://doi.org/10.1109/SR.2025.3639323" TargetMode="External"/><Relationship Id="rId58" Type="http://schemas.openxmlformats.org/officeDocument/2006/relationships/hyperlink" Target="https://doi.org/10.4018/979-8-2600-0883" TargetMode="External"/><Relationship Id="rId17" Type="http://schemas.openxmlformats.org/officeDocument/2006/relationships/hyperlink" Target="https://doi.org/10.1109/DECoN67170.2025.11448043" TargetMode="External"/><Relationship Id="rId16" Type="http://schemas.openxmlformats.org/officeDocument/2006/relationships/hyperlink" Target="https://doi.org/10.1007/s12668-025-01945-z" TargetMode="External"/><Relationship Id="rId19" Type="http://schemas.openxmlformats.org/officeDocument/2006/relationships/hyperlink" Target="https://doi.org/10.1051/e3sconf/202669204006" TargetMode="External"/><Relationship Id="rId18" Type="http://schemas.openxmlformats.org/officeDocument/2006/relationships/hyperlink" Target="https://doi.org/10.1109/TE.2026.366417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1.86"/>
    <col customWidth="1" min="2" max="2" width="32.43"/>
    <col customWidth="1" min="3" max="3" width="12.0"/>
    <col customWidth="1" min="4" max="4" width="10.0"/>
    <col customWidth="1" min="5" max="5" width="22.0"/>
    <col customWidth="1" min="6" max="6" width="18.0"/>
    <col customWidth="1" min="7" max="7" width="16.0"/>
    <col customWidth="1" min="8" max="8" width="13.0"/>
    <col customWidth="1" min="9" max="9" width="18.43"/>
    <col customWidth="1" min="10" max="10" width="18.0"/>
    <col customWidth="1" min="11" max="11" width="13.0"/>
    <col customWidth="1" min="12" max="12" width="18.86"/>
    <col customWidth="1" min="13" max="13" width="28.86"/>
    <col customWidth="1" min="14" max="15" width="14.0"/>
    <col customWidth="1" min="16" max="16" width="18.0"/>
    <col customWidth="1" min="17" max="17" width="54.14"/>
    <col customWidth="1" min="18" max="18" width="14.0"/>
    <col customWidth="1" min="19" max="19" width="15.0"/>
    <col customWidth="1" min="20" max="20" width="30.0"/>
    <col customWidth="1" min="21" max="21" width="16.0"/>
    <col customWidth="1" min="22" max="23" width="25.0"/>
    <col customWidth="1" min="24" max="24" width="20.0"/>
    <col customWidth="1" min="25" max="25" width="16.0"/>
    <col customWidth="1" min="26" max="26" width="25.0"/>
    <col customWidth="1" min="27" max="27" width="18.0"/>
    <col customWidth="1" min="28" max="28" width="14.0"/>
    <col customWidth="1" min="29" max="29" width="35.0"/>
  </cols>
  <sheetData>
    <row r="1">
      <c r="A1" s="1"/>
      <c r="B1" s="2"/>
      <c r="C1" s="2"/>
      <c r="D1" s="2"/>
      <c r="E1" s="3"/>
      <c r="F1" s="4" t="s">
        <v>0</v>
      </c>
      <c r="G1" s="5" t="s">
        <v>1</v>
      </c>
      <c r="H1" s="3"/>
      <c r="I1" s="6" t="s">
        <v>0</v>
      </c>
      <c r="J1" s="7" t="s">
        <v>1</v>
      </c>
      <c r="K1" s="2"/>
      <c r="L1" s="3"/>
      <c r="M1" s="8" t="s">
        <v>2</v>
      </c>
      <c r="N1" s="3"/>
      <c r="O1" s="5" t="s">
        <v>1</v>
      </c>
      <c r="P1" s="3"/>
      <c r="Q1" s="8" t="s">
        <v>2</v>
      </c>
      <c r="R1" s="3"/>
      <c r="S1" s="9" t="s">
        <v>0</v>
      </c>
      <c r="T1" s="2"/>
      <c r="U1" s="2"/>
      <c r="V1" s="2"/>
      <c r="W1" s="2"/>
      <c r="X1" s="2"/>
      <c r="Y1" s="2"/>
      <c r="Z1" s="2"/>
      <c r="AA1" s="2"/>
      <c r="AB1" s="2"/>
      <c r="AC1" s="3"/>
    </row>
    <row r="2" ht="31.5" customHeight="1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4" t="s">
        <v>8</v>
      </c>
      <c r="G2" s="10" t="s">
        <v>9</v>
      </c>
      <c r="H2" s="10" t="s">
        <v>10</v>
      </c>
      <c r="I2" s="6" t="s">
        <v>11</v>
      </c>
      <c r="J2" s="11" t="s">
        <v>12</v>
      </c>
      <c r="K2" s="10" t="s">
        <v>13</v>
      </c>
      <c r="L2" s="10" t="s">
        <v>14</v>
      </c>
      <c r="M2" s="12" t="s">
        <v>15</v>
      </c>
      <c r="N2" s="12" t="s">
        <v>16</v>
      </c>
      <c r="O2" s="10" t="s">
        <v>17</v>
      </c>
      <c r="P2" s="10" t="s">
        <v>18</v>
      </c>
      <c r="Q2" s="12" t="s">
        <v>19</v>
      </c>
      <c r="R2" s="12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</row>
    <row r="3" ht="21.75" customHeight="1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4" t="s">
        <v>37</v>
      </c>
      <c r="G3" s="13" t="s">
        <v>38</v>
      </c>
      <c r="H3" s="15">
        <v>45736.0</v>
      </c>
      <c r="I3" s="14" t="s">
        <v>39</v>
      </c>
      <c r="J3" s="16">
        <v>46203.0</v>
      </c>
      <c r="K3" s="17">
        <f t="shared" ref="K3:K183" si="1">IF(AND(H3&lt;&gt;"",J3&lt;&gt;""),J3-H3,"")</f>
        <v>467</v>
      </c>
      <c r="L3" s="13" t="s">
        <v>40</v>
      </c>
      <c r="M3" s="18"/>
      <c r="N3" s="19">
        <v>0.71</v>
      </c>
      <c r="O3" s="13" t="s">
        <v>41</v>
      </c>
      <c r="P3" s="20" t="s">
        <v>42</v>
      </c>
      <c r="Q3" s="18"/>
      <c r="R3" s="21"/>
      <c r="S3" s="22"/>
      <c r="T3" s="23"/>
      <c r="U3" s="14" t="s">
        <v>43</v>
      </c>
      <c r="V3" s="14" t="s">
        <v>44</v>
      </c>
      <c r="W3" s="23"/>
      <c r="X3" s="14" t="s">
        <v>45</v>
      </c>
      <c r="Y3" s="24"/>
      <c r="Z3" s="23"/>
      <c r="AA3" s="14" t="s">
        <v>45</v>
      </c>
      <c r="AB3" s="23"/>
      <c r="AC3" s="23"/>
    </row>
    <row r="4" ht="32.25" customHeight="1">
      <c r="A4" s="13" t="s">
        <v>46</v>
      </c>
      <c r="B4" s="13" t="s">
        <v>47</v>
      </c>
      <c r="C4" s="13" t="s">
        <v>34</v>
      </c>
      <c r="D4" s="13" t="s">
        <v>35</v>
      </c>
      <c r="E4" s="20" t="s">
        <v>48</v>
      </c>
      <c r="F4" s="14" t="s">
        <v>37</v>
      </c>
      <c r="G4" s="13" t="s">
        <v>49</v>
      </c>
      <c r="H4" s="15">
        <v>45597.0</v>
      </c>
      <c r="I4" s="22"/>
      <c r="J4" s="15">
        <v>45723.0</v>
      </c>
      <c r="K4" s="17">
        <f t="shared" si="1"/>
        <v>126</v>
      </c>
      <c r="L4" s="13" t="s">
        <v>40</v>
      </c>
      <c r="M4" s="25" t="s">
        <v>50</v>
      </c>
      <c r="N4" s="26"/>
      <c r="O4" s="20" t="s">
        <v>51</v>
      </c>
      <c r="P4" s="20" t="s">
        <v>42</v>
      </c>
      <c r="Q4" s="18"/>
      <c r="R4" s="21"/>
      <c r="S4" s="22"/>
      <c r="T4" s="23"/>
      <c r="U4" s="23"/>
      <c r="V4" s="23"/>
      <c r="W4" s="23"/>
      <c r="X4" s="23"/>
      <c r="Y4" s="24"/>
      <c r="Z4" s="23"/>
      <c r="AA4" s="23"/>
      <c r="AB4" s="23"/>
      <c r="AC4" s="23"/>
    </row>
    <row r="5" ht="32.25" customHeight="1">
      <c r="A5" s="27" t="s">
        <v>52</v>
      </c>
      <c r="B5" s="27" t="s">
        <v>53</v>
      </c>
      <c r="C5" s="27" t="s">
        <v>34</v>
      </c>
      <c r="D5" s="27" t="s">
        <v>35</v>
      </c>
      <c r="E5" s="27" t="s">
        <v>54</v>
      </c>
      <c r="F5" s="28" t="s">
        <v>37</v>
      </c>
      <c r="G5" s="27" t="s">
        <v>49</v>
      </c>
      <c r="H5" s="29">
        <v>45334.0</v>
      </c>
      <c r="I5" s="28" t="s">
        <v>55</v>
      </c>
      <c r="J5" s="29">
        <v>45740.0</v>
      </c>
      <c r="K5" s="30">
        <f t="shared" si="1"/>
        <v>406</v>
      </c>
      <c r="L5" s="31" t="s">
        <v>56</v>
      </c>
      <c r="M5" s="32" t="s">
        <v>57</v>
      </c>
      <c r="N5" s="33"/>
      <c r="O5" s="27" t="s">
        <v>58</v>
      </c>
      <c r="P5" s="31" t="s">
        <v>59</v>
      </c>
      <c r="Q5" s="34" t="s">
        <v>60</v>
      </c>
      <c r="R5" s="35"/>
      <c r="S5" s="36"/>
      <c r="T5" s="37"/>
      <c r="U5" s="37"/>
      <c r="V5" s="28" t="s">
        <v>61</v>
      </c>
      <c r="W5" s="37"/>
      <c r="X5" s="28" t="s">
        <v>45</v>
      </c>
      <c r="Y5" s="38"/>
      <c r="Z5" s="37"/>
      <c r="AA5" s="37"/>
      <c r="AB5" s="37"/>
      <c r="AC5" s="37"/>
    </row>
    <row r="6" ht="32.25" customHeight="1">
      <c r="A6" s="13" t="s">
        <v>62</v>
      </c>
      <c r="B6" s="13" t="s">
        <v>63</v>
      </c>
      <c r="C6" s="13" t="s">
        <v>34</v>
      </c>
      <c r="D6" s="13" t="s">
        <v>35</v>
      </c>
      <c r="E6" s="13" t="s">
        <v>54</v>
      </c>
      <c r="F6" s="14" t="s">
        <v>37</v>
      </c>
      <c r="G6" s="13" t="s">
        <v>49</v>
      </c>
      <c r="H6" s="15">
        <v>45366.0</v>
      </c>
      <c r="I6" s="39">
        <v>45545.0</v>
      </c>
      <c r="J6" s="15">
        <v>45664.0</v>
      </c>
      <c r="K6" s="17">
        <f t="shared" si="1"/>
        <v>298</v>
      </c>
      <c r="L6" s="13" t="s">
        <v>64</v>
      </c>
      <c r="M6" s="25" t="s">
        <v>65</v>
      </c>
      <c r="N6" s="26"/>
      <c r="O6" s="13" t="s">
        <v>58</v>
      </c>
      <c r="P6" s="20" t="s">
        <v>59</v>
      </c>
      <c r="Q6" s="40" t="s">
        <v>66</v>
      </c>
      <c r="R6" s="21"/>
      <c r="S6" s="22"/>
      <c r="T6" s="23"/>
      <c r="U6" s="23"/>
      <c r="V6" s="14" t="s">
        <v>67</v>
      </c>
      <c r="W6" s="23"/>
      <c r="X6" s="14" t="s">
        <v>45</v>
      </c>
      <c r="Y6" s="24"/>
      <c r="Z6" s="23"/>
      <c r="AA6" s="23"/>
      <c r="AB6" s="23"/>
      <c r="AC6" s="23"/>
    </row>
    <row r="7" ht="21.75" customHeight="1">
      <c r="A7" s="27" t="s">
        <v>68</v>
      </c>
      <c r="B7" s="27" t="s">
        <v>69</v>
      </c>
      <c r="C7" s="27" t="s">
        <v>34</v>
      </c>
      <c r="D7" s="27" t="s">
        <v>35</v>
      </c>
      <c r="E7" s="27" t="s">
        <v>54</v>
      </c>
      <c r="F7" s="28" t="s">
        <v>37</v>
      </c>
      <c r="G7" s="27" t="s">
        <v>49</v>
      </c>
      <c r="H7" s="29">
        <v>45453.0</v>
      </c>
      <c r="I7" s="36"/>
      <c r="J7" s="29">
        <v>45669.0</v>
      </c>
      <c r="K7" s="30">
        <f t="shared" si="1"/>
        <v>216</v>
      </c>
      <c r="L7" s="27" t="s">
        <v>64</v>
      </c>
      <c r="M7" s="41"/>
      <c r="N7" s="33"/>
      <c r="O7" s="27" t="s">
        <v>58</v>
      </c>
      <c r="P7" s="27"/>
      <c r="Q7" s="41"/>
      <c r="R7" s="35"/>
      <c r="S7" s="36"/>
      <c r="T7" s="37"/>
      <c r="U7" s="37"/>
      <c r="V7" s="37"/>
      <c r="W7" s="37"/>
      <c r="X7" s="37"/>
      <c r="Y7" s="38"/>
      <c r="Z7" s="37"/>
      <c r="AA7" s="37"/>
      <c r="AB7" s="37"/>
      <c r="AC7" s="37"/>
    </row>
    <row r="8" ht="21.75" customHeight="1">
      <c r="A8" s="13" t="s">
        <v>70</v>
      </c>
      <c r="B8" s="13" t="s">
        <v>71</v>
      </c>
      <c r="C8" s="13" t="s">
        <v>34</v>
      </c>
      <c r="D8" s="13" t="s">
        <v>35</v>
      </c>
      <c r="E8" s="13" t="s">
        <v>54</v>
      </c>
      <c r="F8" s="14" t="s">
        <v>37</v>
      </c>
      <c r="G8" s="13" t="s">
        <v>49</v>
      </c>
      <c r="H8" s="15">
        <v>45733.0</v>
      </c>
      <c r="I8" s="22"/>
      <c r="J8" s="15">
        <v>45901.0</v>
      </c>
      <c r="K8" s="17">
        <f t="shared" si="1"/>
        <v>168</v>
      </c>
      <c r="L8" s="13" t="s">
        <v>40</v>
      </c>
      <c r="M8" s="18"/>
      <c r="N8" s="26"/>
      <c r="O8" s="13" t="s">
        <v>51</v>
      </c>
      <c r="P8" s="13" t="s">
        <v>42</v>
      </c>
      <c r="Q8" s="18"/>
      <c r="R8" s="21"/>
      <c r="S8" s="22"/>
      <c r="T8" s="23"/>
      <c r="U8" s="23"/>
      <c r="V8" s="23"/>
      <c r="W8" s="23"/>
      <c r="X8" s="23"/>
      <c r="Y8" s="24"/>
      <c r="Z8" s="23"/>
      <c r="AA8" s="23"/>
      <c r="AB8" s="23"/>
      <c r="AC8" s="23"/>
    </row>
    <row r="9" ht="21.75" customHeight="1">
      <c r="A9" s="27" t="s">
        <v>72</v>
      </c>
      <c r="B9" s="27" t="s">
        <v>73</v>
      </c>
      <c r="C9" s="27" t="s">
        <v>34</v>
      </c>
      <c r="D9" s="27" t="s">
        <v>35</v>
      </c>
      <c r="E9" s="27" t="s">
        <v>74</v>
      </c>
      <c r="F9" s="37"/>
      <c r="G9" s="27" t="s">
        <v>75</v>
      </c>
      <c r="H9" s="29">
        <v>45658.0</v>
      </c>
      <c r="I9" s="36"/>
      <c r="J9" s="29">
        <v>45708.0</v>
      </c>
      <c r="K9" s="30">
        <f t="shared" si="1"/>
        <v>50</v>
      </c>
      <c r="L9" s="27" t="s">
        <v>64</v>
      </c>
      <c r="M9" s="41"/>
      <c r="N9" s="33"/>
      <c r="O9" s="27" t="s">
        <v>58</v>
      </c>
      <c r="P9" s="27"/>
      <c r="Q9" s="41"/>
      <c r="R9" s="35"/>
      <c r="S9" s="36"/>
      <c r="T9" s="37"/>
      <c r="U9" s="37"/>
      <c r="V9" s="37"/>
      <c r="W9" s="37"/>
      <c r="X9" s="37"/>
      <c r="Y9" s="38"/>
      <c r="Z9" s="37"/>
      <c r="AA9" s="37"/>
      <c r="AB9" s="37"/>
      <c r="AC9" s="37"/>
    </row>
    <row r="10" ht="42.75" customHeight="1">
      <c r="A10" s="13" t="s">
        <v>76</v>
      </c>
      <c r="B10" s="13" t="s">
        <v>77</v>
      </c>
      <c r="C10" s="13" t="s">
        <v>34</v>
      </c>
      <c r="D10" s="13" t="s">
        <v>35</v>
      </c>
      <c r="E10" s="13" t="s">
        <v>78</v>
      </c>
      <c r="F10" s="23"/>
      <c r="G10" s="13" t="s">
        <v>75</v>
      </c>
      <c r="H10" s="15">
        <v>45658.0</v>
      </c>
      <c r="I10" s="22"/>
      <c r="J10" s="15">
        <v>45708.0</v>
      </c>
      <c r="K10" s="17">
        <f t="shared" si="1"/>
        <v>50</v>
      </c>
      <c r="L10" s="13" t="s">
        <v>40</v>
      </c>
      <c r="M10" s="18"/>
      <c r="N10" s="26"/>
      <c r="O10" s="13" t="s">
        <v>41</v>
      </c>
      <c r="P10" s="13"/>
      <c r="Q10" s="18"/>
      <c r="R10" s="21"/>
      <c r="S10" s="22"/>
      <c r="T10" s="23"/>
      <c r="U10" s="23"/>
      <c r="V10" s="23"/>
      <c r="W10" s="23"/>
      <c r="X10" s="23"/>
      <c r="Y10" s="24"/>
      <c r="Z10" s="23"/>
      <c r="AA10" s="23"/>
      <c r="AB10" s="23"/>
      <c r="AC10" s="23"/>
    </row>
    <row r="11" ht="53.25" customHeight="1">
      <c r="A11" s="27" t="s">
        <v>79</v>
      </c>
      <c r="B11" s="27" t="s">
        <v>80</v>
      </c>
      <c r="C11" s="27" t="s">
        <v>34</v>
      </c>
      <c r="D11" s="27" t="s">
        <v>35</v>
      </c>
      <c r="E11" s="27" t="s">
        <v>78</v>
      </c>
      <c r="F11" s="37"/>
      <c r="G11" s="27" t="s">
        <v>75</v>
      </c>
      <c r="H11" s="29">
        <v>45659.0</v>
      </c>
      <c r="I11" s="36"/>
      <c r="J11" s="29">
        <v>45708.0</v>
      </c>
      <c r="K11" s="30">
        <f t="shared" si="1"/>
        <v>49</v>
      </c>
      <c r="L11" s="27" t="s">
        <v>40</v>
      </c>
      <c r="M11" s="41"/>
      <c r="N11" s="33"/>
      <c r="O11" s="27" t="s">
        <v>81</v>
      </c>
      <c r="P11" s="27"/>
      <c r="Q11" s="41"/>
      <c r="R11" s="35"/>
      <c r="S11" s="36"/>
      <c r="T11" s="37"/>
      <c r="U11" s="37"/>
      <c r="V11" s="37"/>
      <c r="W11" s="37"/>
      <c r="X11" s="37"/>
      <c r="Y11" s="38"/>
      <c r="Z11" s="37"/>
      <c r="AA11" s="37"/>
      <c r="AB11" s="37"/>
      <c r="AC11" s="37"/>
    </row>
    <row r="12" ht="32.25" customHeight="1">
      <c r="A12" s="13" t="s">
        <v>82</v>
      </c>
      <c r="B12" s="13" t="s">
        <v>83</v>
      </c>
      <c r="C12" s="13" t="s">
        <v>84</v>
      </c>
      <c r="D12" s="13" t="s">
        <v>35</v>
      </c>
      <c r="E12" s="20" t="s">
        <v>85</v>
      </c>
      <c r="F12" s="14" t="s">
        <v>86</v>
      </c>
      <c r="G12" s="13" t="s">
        <v>38</v>
      </c>
      <c r="H12" s="15">
        <v>45895.0</v>
      </c>
      <c r="I12" s="39">
        <v>46003.0</v>
      </c>
      <c r="J12" s="15">
        <v>45931.0</v>
      </c>
      <c r="K12" s="17">
        <f t="shared" si="1"/>
        <v>36</v>
      </c>
      <c r="L12" s="13" t="s">
        <v>40</v>
      </c>
      <c r="M12" s="40" t="s">
        <v>87</v>
      </c>
      <c r="N12" s="26"/>
      <c r="O12" s="13"/>
      <c r="P12" s="13"/>
      <c r="Q12" s="18"/>
      <c r="R12" s="21"/>
      <c r="S12" s="22"/>
      <c r="T12" s="23"/>
      <c r="U12" s="23"/>
      <c r="V12" s="23"/>
      <c r="W12" s="23"/>
      <c r="X12" s="23"/>
      <c r="Y12" s="24"/>
      <c r="Z12" s="23"/>
      <c r="AA12" s="23"/>
      <c r="AB12" s="23"/>
      <c r="AC12" s="23"/>
    </row>
    <row r="13" ht="21.75" customHeight="1">
      <c r="A13" s="27" t="s">
        <v>88</v>
      </c>
      <c r="B13" s="27" t="s">
        <v>89</v>
      </c>
      <c r="C13" s="27" t="s">
        <v>34</v>
      </c>
      <c r="D13" s="27" t="s">
        <v>35</v>
      </c>
      <c r="E13" s="27" t="s">
        <v>90</v>
      </c>
      <c r="F13" s="37"/>
      <c r="G13" s="27" t="s">
        <v>91</v>
      </c>
      <c r="H13" s="29">
        <v>45730.0</v>
      </c>
      <c r="I13" s="36"/>
      <c r="J13" s="29">
        <v>45931.0</v>
      </c>
      <c r="K13" s="30">
        <f t="shared" si="1"/>
        <v>201</v>
      </c>
      <c r="L13" s="27" t="s">
        <v>64</v>
      </c>
      <c r="M13" s="41"/>
      <c r="N13" s="33"/>
      <c r="O13" s="27" t="s">
        <v>58</v>
      </c>
      <c r="P13" s="27"/>
      <c r="Q13" s="41"/>
      <c r="R13" s="35"/>
      <c r="S13" s="36"/>
      <c r="T13" s="37"/>
      <c r="U13" s="37"/>
      <c r="V13" s="37"/>
      <c r="W13" s="37"/>
      <c r="X13" s="37"/>
      <c r="Y13" s="38"/>
      <c r="Z13" s="37"/>
      <c r="AA13" s="37"/>
      <c r="AB13" s="37"/>
      <c r="AC13" s="37"/>
    </row>
    <row r="14" ht="21.75" customHeight="1">
      <c r="A14" s="13" t="s">
        <v>92</v>
      </c>
      <c r="B14" s="13" t="s">
        <v>93</v>
      </c>
      <c r="C14" s="13" t="s">
        <v>34</v>
      </c>
      <c r="D14" s="13" t="s">
        <v>35</v>
      </c>
      <c r="E14" s="13" t="s">
        <v>90</v>
      </c>
      <c r="F14" s="23"/>
      <c r="G14" s="13" t="s">
        <v>91</v>
      </c>
      <c r="H14" s="15">
        <v>45681.0</v>
      </c>
      <c r="I14" s="22"/>
      <c r="J14" s="15">
        <v>45870.0</v>
      </c>
      <c r="K14" s="17">
        <f t="shared" si="1"/>
        <v>189</v>
      </c>
      <c r="L14" s="13" t="s">
        <v>64</v>
      </c>
      <c r="M14" s="18"/>
      <c r="N14" s="26"/>
      <c r="O14" s="13" t="s">
        <v>58</v>
      </c>
      <c r="P14" s="13"/>
      <c r="Q14" s="18"/>
      <c r="R14" s="21"/>
      <c r="S14" s="22"/>
      <c r="T14" s="23"/>
      <c r="U14" s="23"/>
      <c r="V14" s="23"/>
      <c r="W14" s="23"/>
      <c r="X14" s="23"/>
      <c r="Y14" s="24"/>
      <c r="Z14" s="23"/>
      <c r="AA14" s="23"/>
      <c r="AB14" s="23"/>
      <c r="AC14" s="23"/>
    </row>
    <row r="15" ht="32.25" customHeight="1">
      <c r="A15" s="27" t="s">
        <v>94</v>
      </c>
      <c r="B15" s="27" t="s">
        <v>95</v>
      </c>
      <c r="C15" s="27" t="s">
        <v>34</v>
      </c>
      <c r="D15" s="27" t="s">
        <v>35</v>
      </c>
      <c r="E15" s="27" t="s">
        <v>96</v>
      </c>
      <c r="F15" s="28" t="s">
        <v>97</v>
      </c>
      <c r="G15" s="27" t="s">
        <v>75</v>
      </c>
      <c r="H15" s="29">
        <v>45748.0</v>
      </c>
      <c r="I15" s="36"/>
      <c r="J15" s="29">
        <v>45931.0</v>
      </c>
      <c r="K15" s="30">
        <f t="shared" si="1"/>
        <v>183</v>
      </c>
      <c r="L15" s="27" t="s">
        <v>40</v>
      </c>
      <c r="M15" s="32" t="s">
        <v>98</v>
      </c>
      <c r="N15" s="42">
        <v>0.6</v>
      </c>
      <c r="O15" s="31" t="s">
        <v>58</v>
      </c>
      <c r="P15" s="31" t="s">
        <v>42</v>
      </c>
      <c r="Q15" s="32" t="s">
        <v>99</v>
      </c>
      <c r="R15" s="43">
        <v>0.0</v>
      </c>
      <c r="S15" s="28" t="s">
        <v>100</v>
      </c>
      <c r="T15" s="28"/>
      <c r="U15" s="28">
        <v>1.0</v>
      </c>
      <c r="V15" s="28" t="s">
        <v>101</v>
      </c>
      <c r="W15" s="28" t="s">
        <v>102</v>
      </c>
      <c r="X15" s="28" t="s">
        <v>103</v>
      </c>
      <c r="Y15" s="44">
        <v>17.5</v>
      </c>
      <c r="Z15" s="37"/>
      <c r="AA15" s="28" t="s">
        <v>104</v>
      </c>
      <c r="AB15" s="28" t="s">
        <v>59</v>
      </c>
      <c r="AC15" s="37"/>
    </row>
    <row r="16" ht="42.75" customHeight="1">
      <c r="A16" s="13" t="s">
        <v>105</v>
      </c>
      <c r="B16" s="13" t="s">
        <v>106</v>
      </c>
      <c r="C16" s="13" t="s">
        <v>34</v>
      </c>
      <c r="D16" s="13" t="s">
        <v>35</v>
      </c>
      <c r="E16" s="13" t="s">
        <v>107</v>
      </c>
      <c r="F16" s="23"/>
      <c r="G16" s="13" t="s">
        <v>49</v>
      </c>
      <c r="H16" s="15">
        <v>45543.0</v>
      </c>
      <c r="I16" s="22"/>
      <c r="J16" s="15">
        <v>45714.0</v>
      </c>
      <c r="K16" s="17">
        <f t="shared" si="1"/>
        <v>171</v>
      </c>
      <c r="L16" s="13" t="s">
        <v>40</v>
      </c>
      <c r="M16" s="18"/>
      <c r="N16" s="26"/>
      <c r="O16" s="13" t="s">
        <v>41</v>
      </c>
      <c r="P16" s="13"/>
      <c r="Q16" s="18"/>
      <c r="R16" s="21"/>
      <c r="S16" s="22"/>
      <c r="T16" s="23"/>
      <c r="U16" s="23"/>
      <c r="V16" s="23"/>
      <c r="W16" s="23"/>
      <c r="X16" s="23"/>
      <c r="Y16" s="24"/>
      <c r="Z16" s="23"/>
      <c r="AA16" s="23"/>
      <c r="AB16" s="23"/>
      <c r="AC16" s="23"/>
    </row>
    <row r="17" ht="32.25" customHeight="1">
      <c r="A17" s="27" t="s">
        <v>108</v>
      </c>
      <c r="B17" s="27" t="s">
        <v>109</v>
      </c>
      <c r="C17" s="27" t="s">
        <v>34</v>
      </c>
      <c r="D17" s="27" t="s">
        <v>35</v>
      </c>
      <c r="E17" s="27" t="s">
        <v>107</v>
      </c>
      <c r="F17" s="37"/>
      <c r="G17" s="27" t="s">
        <v>38</v>
      </c>
      <c r="H17" s="29">
        <v>45689.0</v>
      </c>
      <c r="I17" s="36"/>
      <c r="J17" s="29">
        <v>45869.0</v>
      </c>
      <c r="K17" s="30">
        <f t="shared" si="1"/>
        <v>180</v>
      </c>
      <c r="L17" s="27" t="s">
        <v>56</v>
      </c>
      <c r="M17" s="41"/>
      <c r="N17" s="33"/>
      <c r="O17" s="27" t="s">
        <v>58</v>
      </c>
      <c r="P17" s="27"/>
      <c r="Q17" s="41"/>
      <c r="R17" s="35"/>
      <c r="S17" s="36"/>
      <c r="T17" s="37"/>
      <c r="U17" s="37"/>
      <c r="V17" s="37"/>
      <c r="W17" s="37"/>
      <c r="X17" s="37"/>
      <c r="Y17" s="38"/>
      <c r="Z17" s="37"/>
      <c r="AA17" s="37"/>
      <c r="AB17" s="37"/>
      <c r="AC17" s="37"/>
    </row>
    <row r="18" ht="32.25" customHeight="1">
      <c r="A18" s="13" t="s">
        <v>110</v>
      </c>
      <c r="B18" s="13" t="s">
        <v>111</v>
      </c>
      <c r="C18" s="13" t="s">
        <v>34</v>
      </c>
      <c r="D18" s="13" t="s">
        <v>35</v>
      </c>
      <c r="E18" s="13" t="s">
        <v>112</v>
      </c>
      <c r="F18" s="14" t="s">
        <v>97</v>
      </c>
      <c r="G18" s="13" t="s">
        <v>38</v>
      </c>
      <c r="H18" s="15">
        <v>45722.0</v>
      </c>
      <c r="I18" s="22"/>
      <c r="J18" s="15">
        <v>45900.0</v>
      </c>
      <c r="K18" s="17">
        <f t="shared" si="1"/>
        <v>178</v>
      </c>
      <c r="L18" s="13" t="s">
        <v>40</v>
      </c>
      <c r="M18" s="18"/>
      <c r="N18" s="26"/>
      <c r="O18" s="20" t="s">
        <v>51</v>
      </c>
      <c r="P18" s="13"/>
      <c r="Q18" s="18"/>
      <c r="R18" s="21"/>
      <c r="S18" s="22"/>
      <c r="T18" s="23"/>
      <c r="U18" s="23"/>
      <c r="V18" s="23"/>
      <c r="W18" s="23"/>
      <c r="X18" s="23"/>
      <c r="Y18" s="24"/>
      <c r="Z18" s="23"/>
      <c r="AA18" s="23"/>
      <c r="AB18" s="23"/>
      <c r="AC18" s="23"/>
    </row>
    <row r="19" ht="32.25" customHeight="1">
      <c r="A19" s="27" t="s">
        <v>113</v>
      </c>
      <c r="B19" s="27" t="s">
        <v>114</v>
      </c>
      <c r="C19" s="27" t="s">
        <v>34</v>
      </c>
      <c r="D19" s="27" t="s">
        <v>35</v>
      </c>
      <c r="E19" s="27" t="s">
        <v>115</v>
      </c>
      <c r="F19" s="28" t="s">
        <v>97</v>
      </c>
      <c r="G19" s="27" t="s">
        <v>38</v>
      </c>
      <c r="H19" s="29">
        <v>45748.0</v>
      </c>
      <c r="I19" s="36"/>
      <c r="J19" s="29">
        <v>45930.0</v>
      </c>
      <c r="K19" s="30">
        <f t="shared" si="1"/>
        <v>182</v>
      </c>
      <c r="L19" s="27" t="s">
        <v>40</v>
      </c>
      <c r="M19" s="41"/>
      <c r="N19" s="33"/>
      <c r="O19" s="31" t="s">
        <v>41</v>
      </c>
      <c r="P19" s="27"/>
      <c r="Q19" s="41"/>
      <c r="R19" s="35"/>
      <c r="S19" s="36"/>
      <c r="T19" s="37"/>
      <c r="U19" s="37"/>
      <c r="V19" s="37"/>
      <c r="W19" s="37"/>
      <c r="X19" s="37"/>
      <c r="Y19" s="38"/>
      <c r="Z19" s="37"/>
      <c r="AA19" s="37"/>
      <c r="AB19" s="37"/>
      <c r="AC19" s="37"/>
    </row>
    <row r="20" ht="32.25" customHeight="1">
      <c r="A20" s="13" t="s">
        <v>116</v>
      </c>
      <c r="B20" s="13" t="s">
        <v>33</v>
      </c>
      <c r="C20" s="13" t="s">
        <v>34</v>
      </c>
      <c r="D20" s="13" t="s">
        <v>35</v>
      </c>
      <c r="E20" s="13" t="s">
        <v>117</v>
      </c>
      <c r="F20" s="14" t="s">
        <v>37</v>
      </c>
      <c r="G20" s="20" t="s">
        <v>49</v>
      </c>
      <c r="H20" s="15">
        <v>45615.0</v>
      </c>
      <c r="I20" s="22"/>
      <c r="J20" s="16">
        <v>45991.0</v>
      </c>
      <c r="K20" s="17">
        <f t="shared" si="1"/>
        <v>376</v>
      </c>
      <c r="L20" s="13" t="s">
        <v>40</v>
      </c>
      <c r="M20" s="25" t="s">
        <v>118</v>
      </c>
      <c r="N20" s="19">
        <v>1.2</v>
      </c>
      <c r="O20" s="13" t="s">
        <v>81</v>
      </c>
      <c r="P20" s="13" t="s">
        <v>42</v>
      </c>
      <c r="Q20" s="45" t="s">
        <v>119</v>
      </c>
      <c r="R20" s="21"/>
      <c r="S20" s="22"/>
      <c r="T20" s="23"/>
      <c r="U20" s="23"/>
      <c r="V20" s="14" t="s">
        <v>120</v>
      </c>
      <c r="W20" s="23"/>
      <c r="X20" s="14" t="s">
        <v>45</v>
      </c>
      <c r="Y20" s="24"/>
      <c r="Z20" s="23"/>
      <c r="AA20" s="14" t="s">
        <v>104</v>
      </c>
      <c r="AB20" s="23"/>
      <c r="AC20" s="23"/>
    </row>
    <row r="21" ht="53.25" customHeight="1">
      <c r="A21" s="13" t="s">
        <v>121</v>
      </c>
      <c r="B21" s="13" t="s">
        <v>122</v>
      </c>
      <c r="C21" s="13" t="s">
        <v>84</v>
      </c>
      <c r="D21" s="13" t="s">
        <v>35</v>
      </c>
      <c r="E21" s="20" t="s">
        <v>123</v>
      </c>
      <c r="F21" s="14" t="s">
        <v>86</v>
      </c>
      <c r="G21" s="13" t="s">
        <v>49</v>
      </c>
      <c r="H21" s="16">
        <v>45817.0</v>
      </c>
      <c r="I21" s="39">
        <v>45721.0</v>
      </c>
      <c r="J21" s="15">
        <v>45868.0</v>
      </c>
      <c r="K21" s="17">
        <f t="shared" si="1"/>
        <v>51</v>
      </c>
      <c r="L21" s="13" t="s">
        <v>40</v>
      </c>
      <c r="M21" s="25" t="s">
        <v>124</v>
      </c>
      <c r="N21" s="26"/>
      <c r="O21" s="13" t="s">
        <v>51</v>
      </c>
      <c r="P21" s="13" t="s">
        <v>42</v>
      </c>
      <c r="Q21" s="45" t="s">
        <v>125</v>
      </c>
      <c r="R21" s="46">
        <v>0.0</v>
      </c>
      <c r="S21" s="22"/>
      <c r="T21" s="23"/>
      <c r="U21" s="23"/>
      <c r="V21" s="23"/>
      <c r="W21" s="23"/>
      <c r="X21" s="23"/>
      <c r="Y21" s="24"/>
      <c r="Z21" s="23"/>
      <c r="AA21" s="14" t="s">
        <v>45</v>
      </c>
      <c r="AB21" s="14" t="s">
        <v>59</v>
      </c>
      <c r="AC21" s="47" t="s">
        <v>126</v>
      </c>
    </row>
    <row r="22" ht="32.25" customHeight="1">
      <c r="A22" s="27" t="s">
        <v>127</v>
      </c>
      <c r="B22" s="27" t="s">
        <v>128</v>
      </c>
      <c r="C22" s="27" t="s">
        <v>84</v>
      </c>
      <c r="D22" s="27" t="s">
        <v>35</v>
      </c>
      <c r="E22" s="27" t="s">
        <v>123</v>
      </c>
      <c r="F22" s="28" t="s">
        <v>86</v>
      </c>
      <c r="G22" s="27" t="s">
        <v>49</v>
      </c>
      <c r="H22" s="29">
        <v>45719.0</v>
      </c>
      <c r="I22" s="36"/>
      <c r="J22" s="48">
        <v>45838.0</v>
      </c>
      <c r="K22" s="30">
        <f t="shared" si="1"/>
        <v>119</v>
      </c>
      <c r="L22" s="27" t="s">
        <v>64</v>
      </c>
      <c r="M22" s="32" t="s">
        <v>129</v>
      </c>
      <c r="N22" s="33"/>
      <c r="O22" s="27" t="s">
        <v>81</v>
      </c>
      <c r="P22" s="31" t="s">
        <v>59</v>
      </c>
      <c r="Q22" s="45" t="s">
        <v>130</v>
      </c>
      <c r="R22" s="35"/>
      <c r="S22" s="36"/>
      <c r="T22" s="37"/>
      <c r="U22" s="37"/>
      <c r="V22" s="37"/>
      <c r="W22" s="37"/>
      <c r="X22" s="37"/>
      <c r="Y22" s="38"/>
      <c r="Z22" s="37"/>
      <c r="AA22" s="37"/>
      <c r="AB22" s="37"/>
      <c r="AC22" s="37"/>
    </row>
    <row r="23" ht="53.25" customHeight="1">
      <c r="A23" s="13" t="s">
        <v>131</v>
      </c>
      <c r="B23" s="13" t="s">
        <v>132</v>
      </c>
      <c r="C23" s="13" t="s">
        <v>133</v>
      </c>
      <c r="D23" s="13" t="s">
        <v>35</v>
      </c>
      <c r="E23" s="13" t="s">
        <v>134</v>
      </c>
      <c r="F23" s="23"/>
      <c r="G23" s="13" t="s">
        <v>49</v>
      </c>
      <c r="H23" s="15">
        <v>45588.0</v>
      </c>
      <c r="I23" s="22"/>
      <c r="J23" s="15">
        <v>45709.0</v>
      </c>
      <c r="K23" s="17">
        <f t="shared" si="1"/>
        <v>121</v>
      </c>
      <c r="L23" s="13" t="s">
        <v>40</v>
      </c>
      <c r="M23" s="18"/>
      <c r="N23" s="26"/>
      <c r="O23" s="13" t="s">
        <v>81</v>
      </c>
      <c r="P23" s="13" t="s">
        <v>42</v>
      </c>
      <c r="Q23" s="49"/>
      <c r="R23" s="21"/>
      <c r="S23" s="22"/>
      <c r="T23" s="23"/>
      <c r="U23" s="23"/>
      <c r="V23" s="23"/>
      <c r="W23" s="23"/>
      <c r="X23" s="23"/>
      <c r="Y23" s="24"/>
      <c r="Z23" s="23"/>
      <c r="AA23" s="23"/>
      <c r="AB23" s="23"/>
      <c r="AC23" s="23"/>
    </row>
    <row r="24" ht="53.25" customHeight="1">
      <c r="A24" s="27" t="s">
        <v>135</v>
      </c>
      <c r="B24" s="27" t="s">
        <v>136</v>
      </c>
      <c r="C24" s="27" t="s">
        <v>133</v>
      </c>
      <c r="D24" s="27" t="s">
        <v>35</v>
      </c>
      <c r="E24" s="27" t="s">
        <v>137</v>
      </c>
      <c r="F24" s="37"/>
      <c r="G24" s="27" t="s">
        <v>49</v>
      </c>
      <c r="H24" s="29">
        <v>45878.0</v>
      </c>
      <c r="I24" s="36"/>
      <c r="J24" s="29">
        <v>45900.0</v>
      </c>
      <c r="K24" s="30">
        <f t="shared" si="1"/>
        <v>22</v>
      </c>
      <c r="L24" s="27" t="s">
        <v>40</v>
      </c>
      <c r="M24" s="41"/>
      <c r="N24" s="33"/>
      <c r="O24" s="27" t="s">
        <v>81</v>
      </c>
      <c r="P24" s="27" t="s">
        <v>42</v>
      </c>
      <c r="Q24" s="41"/>
      <c r="R24" s="35"/>
      <c r="S24" s="36"/>
      <c r="T24" s="37"/>
      <c r="U24" s="37"/>
      <c r="V24" s="37"/>
      <c r="W24" s="37"/>
      <c r="X24" s="37"/>
      <c r="Y24" s="38"/>
      <c r="Z24" s="37"/>
      <c r="AA24" s="37"/>
      <c r="AB24" s="37"/>
      <c r="AC24" s="37"/>
    </row>
    <row r="25" ht="42.75" customHeight="1">
      <c r="A25" s="13" t="s">
        <v>138</v>
      </c>
      <c r="B25" s="13" t="s">
        <v>139</v>
      </c>
      <c r="C25" s="13" t="s">
        <v>133</v>
      </c>
      <c r="D25" s="13" t="s">
        <v>35</v>
      </c>
      <c r="E25" s="13" t="s">
        <v>140</v>
      </c>
      <c r="F25" s="23"/>
      <c r="G25" s="13" t="s">
        <v>49</v>
      </c>
      <c r="H25" s="15">
        <v>45709.0</v>
      </c>
      <c r="I25" s="22"/>
      <c r="J25" s="15">
        <v>45869.0</v>
      </c>
      <c r="K25" s="17">
        <f t="shared" si="1"/>
        <v>160</v>
      </c>
      <c r="L25" s="13" t="s">
        <v>40</v>
      </c>
      <c r="M25" s="18"/>
      <c r="N25" s="26"/>
      <c r="O25" s="13" t="s">
        <v>81</v>
      </c>
      <c r="P25" s="13" t="s">
        <v>42</v>
      </c>
      <c r="Q25" s="18"/>
      <c r="R25" s="21"/>
      <c r="S25" s="22"/>
      <c r="T25" s="23"/>
      <c r="U25" s="23"/>
      <c r="V25" s="23"/>
      <c r="W25" s="23"/>
      <c r="X25" s="23"/>
      <c r="Y25" s="24"/>
      <c r="Z25" s="23"/>
      <c r="AA25" s="23"/>
      <c r="AB25" s="23"/>
      <c r="AC25" s="23"/>
    </row>
    <row r="26" ht="53.25" customHeight="1">
      <c r="A26" s="27" t="s">
        <v>141</v>
      </c>
      <c r="B26" s="27" t="s">
        <v>142</v>
      </c>
      <c r="C26" s="27" t="s">
        <v>133</v>
      </c>
      <c r="D26" s="27" t="s">
        <v>35</v>
      </c>
      <c r="E26" s="27" t="s">
        <v>143</v>
      </c>
      <c r="F26" s="37"/>
      <c r="G26" s="27" t="s">
        <v>49</v>
      </c>
      <c r="H26" s="29">
        <v>45903.0</v>
      </c>
      <c r="I26" s="36"/>
      <c r="J26" s="29">
        <v>45900.0</v>
      </c>
      <c r="K26" s="30">
        <f t="shared" si="1"/>
        <v>-3</v>
      </c>
      <c r="L26" s="27" t="s">
        <v>40</v>
      </c>
      <c r="M26" s="41"/>
      <c r="N26" s="33"/>
      <c r="O26" s="27" t="s">
        <v>81</v>
      </c>
      <c r="P26" s="27" t="s">
        <v>42</v>
      </c>
      <c r="Q26" s="41"/>
      <c r="R26" s="35"/>
      <c r="S26" s="36"/>
      <c r="T26" s="37"/>
      <c r="U26" s="37"/>
      <c r="V26" s="37"/>
      <c r="W26" s="37"/>
      <c r="X26" s="37"/>
      <c r="Y26" s="38"/>
      <c r="Z26" s="37"/>
      <c r="AA26" s="37"/>
      <c r="AB26" s="37"/>
      <c r="AC26" s="37"/>
    </row>
    <row r="27" ht="32.25" customHeight="1">
      <c r="A27" s="13" t="s">
        <v>144</v>
      </c>
      <c r="B27" s="13" t="s">
        <v>145</v>
      </c>
      <c r="C27" s="13" t="s">
        <v>84</v>
      </c>
      <c r="D27" s="13" t="s">
        <v>35</v>
      </c>
      <c r="E27" s="13" t="s">
        <v>146</v>
      </c>
      <c r="F27" s="23"/>
      <c r="G27" s="13" t="s">
        <v>38</v>
      </c>
      <c r="H27" s="15">
        <v>45731.0</v>
      </c>
      <c r="I27" s="22"/>
      <c r="J27" s="15">
        <v>45930.0</v>
      </c>
      <c r="K27" s="17">
        <f t="shared" si="1"/>
        <v>199</v>
      </c>
      <c r="L27" s="13" t="s">
        <v>40</v>
      </c>
      <c r="M27" s="18"/>
      <c r="N27" s="26"/>
      <c r="O27" s="13" t="s">
        <v>81</v>
      </c>
      <c r="P27" s="13"/>
      <c r="Q27" s="18"/>
      <c r="R27" s="21"/>
      <c r="S27" s="22"/>
      <c r="T27" s="23"/>
      <c r="U27" s="23"/>
      <c r="V27" s="23"/>
      <c r="W27" s="23"/>
      <c r="X27" s="23"/>
      <c r="Y27" s="24"/>
      <c r="Z27" s="23"/>
      <c r="AA27" s="23"/>
      <c r="AB27" s="23"/>
      <c r="AC27" s="23"/>
    </row>
    <row r="28" ht="53.25" customHeight="1">
      <c r="A28" s="27" t="s">
        <v>147</v>
      </c>
      <c r="B28" s="27" t="s">
        <v>148</v>
      </c>
      <c r="C28" s="27" t="s">
        <v>133</v>
      </c>
      <c r="D28" s="27" t="s">
        <v>35</v>
      </c>
      <c r="E28" s="27" t="s">
        <v>149</v>
      </c>
      <c r="F28" s="37"/>
      <c r="G28" s="27" t="s">
        <v>49</v>
      </c>
      <c r="H28" s="29">
        <v>45688.0</v>
      </c>
      <c r="I28" s="36"/>
      <c r="J28" s="29">
        <v>45744.0</v>
      </c>
      <c r="K28" s="30">
        <f t="shared" si="1"/>
        <v>56</v>
      </c>
      <c r="L28" s="27" t="s">
        <v>40</v>
      </c>
      <c r="M28" s="41"/>
      <c r="N28" s="33"/>
      <c r="O28" s="27" t="s">
        <v>81</v>
      </c>
      <c r="P28" s="27" t="s">
        <v>42</v>
      </c>
      <c r="Q28" s="41"/>
      <c r="R28" s="35"/>
      <c r="S28" s="36"/>
      <c r="T28" s="37"/>
      <c r="U28" s="37"/>
      <c r="V28" s="37"/>
      <c r="W28" s="37"/>
      <c r="X28" s="37"/>
      <c r="Y28" s="38"/>
      <c r="Z28" s="37"/>
      <c r="AA28" s="37"/>
      <c r="AB28" s="37"/>
      <c r="AC28" s="37"/>
    </row>
    <row r="29" ht="74.25" customHeight="1">
      <c r="A29" s="13" t="s">
        <v>150</v>
      </c>
      <c r="B29" s="13" t="s">
        <v>151</v>
      </c>
      <c r="C29" s="13" t="s">
        <v>133</v>
      </c>
      <c r="D29" s="13" t="s">
        <v>35</v>
      </c>
      <c r="E29" s="13" t="s">
        <v>149</v>
      </c>
      <c r="F29" s="23"/>
      <c r="G29" s="13" t="s">
        <v>49</v>
      </c>
      <c r="H29" s="15">
        <v>45666.0</v>
      </c>
      <c r="I29" s="22"/>
      <c r="J29" s="15">
        <v>45736.0</v>
      </c>
      <c r="K29" s="17">
        <f t="shared" si="1"/>
        <v>70</v>
      </c>
      <c r="L29" s="13" t="s">
        <v>40</v>
      </c>
      <c r="M29" s="18"/>
      <c r="N29" s="26"/>
      <c r="O29" s="13" t="s">
        <v>81</v>
      </c>
      <c r="P29" s="13" t="s">
        <v>42</v>
      </c>
      <c r="Q29" s="18"/>
      <c r="R29" s="21"/>
      <c r="S29" s="22"/>
      <c r="T29" s="23"/>
      <c r="U29" s="23"/>
      <c r="V29" s="23"/>
      <c r="W29" s="23"/>
      <c r="X29" s="23"/>
      <c r="Y29" s="24"/>
      <c r="Z29" s="23"/>
      <c r="AA29" s="23"/>
      <c r="AB29" s="23"/>
      <c r="AC29" s="23"/>
    </row>
    <row r="30" ht="63.75" customHeight="1">
      <c r="A30" s="27" t="s">
        <v>152</v>
      </c>
      <c r="B30" s="27" t="s">
        <v>153</v>
      </c>
      <c r="C30" s="27" t="s">
        <v>133</v>
      </c>
      <c r="D30" s="27" t="s">
        <v>35</v>
      </c>
      <c r="E30" s="27" t="s">
        <v>154</v>
      </c>
      <c r="F30" s="37"/>
      <c r="G30" s="27" t="s">
        <v>49</v>
      </c>
      <c r="H30" s="29">
        <v>45665.0</v>
      </c>
      <c r="I30" s="36"/>
      <c r="J30" s="29">
        <v>45729.0</v>
      </c>
      <c r="K30" s="30">
        <f t="shared" si="1"/>
        <v>64</v>
      </c>
      <c r="L30" s="27" t="s">
        <v>40</v>
      </c>
      <c r="M30" s="41"/>
      <c r="N30" s="33"/>
      <c r="O30" s="27" t="s">
        <v>51</v>
      </c>
      <c r="P30" s="27" t="s">
        <v>42</v>
      </c>
      <c r="Q30" s="41"/>
      <c r="R30" s="35"/>
      <c r="S30" s="36"/>
      <c r="T30" s="37"/>
      <c r="U30" s="37"/>
      <c r="V30" s="37"/>
      <c r="W30" s="37"/>
      <c r="X30" s="37"/>
      <c r="Y30" s="38"/>
      <c r="Z30" s="37"/>
      <c r="AA30" s="37"/>
      <c r="AB30" s="37"/>
      <c r="AC30" s="37"/>
    </row>
    <row r="31" ht="32.25" customHeight="1">
      <c r="A31" s="13" t="s">
        <v>155</v>
      </c>
      <c r="B31" s="13" t="s">
        <v>156</v>
      </c>
      <c r="C31" s="13" t="s">
        <v>133</v>
      </c>
      <c r="D31" s="13" t="s">
        <v>35</v>
      </c>
      <c r="E31" s="13" t="s">
        <v>157</v>
      </c>
      <c r="F31" s="23"/>
      <c r="G31" s="13" t="s">
        <v>49</v>
      </c>
      <c r="H31" s="15">
        <v>45646.0</v>
      </c>
      <c r="I31" s="22"/>
      <c r="J31" s="15">
        <v>45700.0</v>
      </c>
      <c r="K31" s="17">
        <f t="shared" si="1"/>
        <v>54</v>
      </c>
      <c r="L31" s="13" t="s">
        <v>40</v>
      </c>
      <c r="M31" s="18"/>
      <c r="N31" s="26"/>
      <c r="O31" s="13" t="s">
        <v>81</v>
      </c>
      <c r="P31" s="13" t="s">
        <v>42</v>
      </c>
      <c r="Q31" s="18"/>
      <c r="R31" s="21"/>
      <c r="S31" s="22"/>
      <c r="T31" s="23"/>
      <c r="U31" s="23"/>
      <c r="V31" s="23"/>
      <c r="W31" s="23"/>
      <c r="X31" s="23"/>
      <c r="Y31" s="24"/>
      <c r="Z31" s="23"/>
      <c r="AA31" s="23"/>
      <c r="AB31" s="23"/>
      <c r="AC31" s="23"/>
    </row>
    <row r="32" ht="53.25" customHeight="1">
      <c r="A32" s="27" t="s">
        <v>158</v>
      </c>
      <c r="B32" s="27" t="s">
        <v>159</v>
      </c>
      <c r="C32" s="27" t="s">
        <v>133</v>
      </c>
      <c r="D32" s="27" t="s">
        <v>35</v>
      </c>
      <c r="E32" s="27" t="s">
        <v>160</v>
      </c>
      <c r="F32" s="37"/>
      <c r="G32" s="27" t="s">
        <v>49</v>
      </c>
      <c r="H32" s="29">
        <v>45653.0</v>
      </c>
      <c r="I32" s="36"/>
      <c r="J32" s="29">
        <v>45750.0</v>
      </c>
      <c r="K32" s="30">
        <f t="shared" si="1"/>
        <v>97</v>
      </c>
      <c r="L32" s="27" t="s">
        <v>40</v>
      </c>
      <c r="M32" s="41"/>
      <c r="N32" s="33"/>
      <c r="O32" s="27" t="s">
        <v>51</v>
      </c>
      <c r="P32" s="27" t="s">
        <v>42</v>
      </c>
      <c r="Q32" s="41"/>
      <c r="R32" s="35"/>
      <c r="S32" s="36"/>
      <c r="T32" s="37"/>
      <c r="U32" s="37"/>
      <c r="V32" s="37"/>
      <c r="W32" s="37"/>
      <c r="X32" s="37"/>
      <c r="Y32" s="38"/>
      <c r="Z32" s="37"/>
      <c r="AA32" s="37"/>
      <c r="AB32" s="37"/>
      <c r="AC32" s="37"/>
    </row>
    <row r="33" ht="42.75" customHeight="1">
      <c r="A33" s="13" t="s">
        <v>161</v>
      </c>
      <c r="B33" s="13" t="s">
        <v>162</v>
      </c>
      <c r="C33" s="13" t="s">
        <v>133</v>
      </c>
      <c r="D33" s="13" t="s">
        <v>35</v>
      </c>
      <c r="E33" s="13" t="s">
        <v>149</v>
      </c>
      <c r="F33" s="23"/>
      <c r="G33" s="13" t="s">
        <v>163</v>
      </c>
      <c r="H33" s="15">
        <v>45750.0</v>
      </c>
      <c r="I33" s="22"/>
      <c r="J33" s="15">
        <v>45807.0</v>
      </c>
      <c r="K33" s="17">
        <f t="shared" si="1"/>
        <v>57</v>
      </c>
      <c r="L33" s="13" t="s">
        <v>40</v>
      </c>
      <c r="M33" s="18"/>
      <c r="N33" s="26"/>
      <c r="O33" s="13" t="s">
        <v>81</v>
      </c>
      <c r="P33" s="13" t="s">
        <v>42</v>
      </c>
      <c r="Q33" s="18"/>
      <c r="R33" s="21"/>
      <c r="S33" s="22"/>
      <c r="T33" s="23"/>
      <c r="U33" s="23"/>
      <c r="V33" s="23"/>
      <c r="W33" s="23"/>
      <c r="X33" s="23"/>
      <c r="Y33" s="24"/>
      <c r="Z33" s="23"/>
      <c r="AA33" s="23"/>
      <c r="AB33" s="23"/>
      <c r="AC33" s="23"/>
    </row>
    <row r="34" ht="32.25" customHeight="1">
      <c r="A34" s="27" t="s">
        <v>164</v>
      </c>
      <c r="B34" s="27" t="s">
        <v>165</v>
      </c>
      <c r="C34" s="27" t="s">
        <v>133</v>
      </c>
      <c r="D34" s="27" t="s">
        <v>35</v>
      </c>
      <c r="E34" s="27" t="s">
        <v>166</v>
      </c>
      <c r="F34" s="37"/>
      <c r="G34" s="27" t="s">
        <v>38</v>
      </c>
      <c r="H34" s="29">
        <v>45745.0</v>
      </c>
      <c r="I34" s="36"/>
      <c r="J34" s="29">
        <v>45807.0</v>
      </c>
      <c r="K34" s="30">
        <f t="shared" si="1"/>
        <v>62</v>
      </c>
      <c r="L34" s="27" t="s">
        <v>40</v>
      </c>
      <c r="M34" s="41"/>
      <c r="N34" s="33"/>
      <c r="O34" s="27" t="s">
        <v>81</v>
      </c>
      <c r="P34" s="27" t="s">
        <v>42</v>
      </c>
      <c r="Q34" s="41"/>
      <c r="R34" s="35"/>
      <c r="S34" s="36"/>
      <c r="T34" s="37"/>
      <c r="U34" s="37"/>
      <c r="V34" s="37"/>
      <c r="W34" s="37"/>
      <c r="X34" s="37"/>
      <c r="Y34" s="38"/>
      <c r="Z34" s="37"/>
      <c r="AA34" s="37"/>
      <c r="AB34" s="37"/>
      <c r="AC34" s="37"/>
    </row>
    <row r="35" ht="53.25" customHeight="1">
      <c r="A35" s="13" t="s">
        <v>167</v>
      </c>
      <c r="B35" s="13" t="s">
        <v>168</v>
      </c>
      <c r="C35" s="13" t="s">
        <v>133</v>
      </c>
      <c r="D35" s="13" t="s">
        <v>35</v>
      </c>
      <c r="E35" s="13" t="s">
        <v>149</v>
      </c>
      <c r="F35" s="23"/>
      <c r="G35" s="13" t="s">
        <v>49</v>
      </c>
      <c r="H35" s="15">
        <v>45743.0</v>
      </c>
      <c r="I35" s="22"/>
      <c r="J35" s="15">
        <v>45838.0</v>
      </c>
      <c r="K35" s="17">
        <f t="shared" si="1"/>
        <v>95</v>
      </c>
      <c r="L35" s="13" t="s">
        <v>40</v>
      </c>
      <c r="M35" s="18"/>
      <c r="N35" s="26"/>
      <c r="O35" s="13" t="s">
        <v>51</v>
      </c>
      <c r="P35" s="13" t="s">
        <v>42</v>
      </c>
      <c r="Q35" s="18"/>
      <c r="R35" s="21"/>
      <c r="S35" s="22"/>
      <c r="T35" s="23"/>
      <c r="U35" s="23"/>
      <c r="V35" s="23"/>
      <c r="W35" s="23"/>
      <c r="X35" s="23"/>
      <c r="Y35" s="24"/>
      <c r="Z35" s="23"/>
      <c r="AA35" s="23"/>
      <c r="AB35" s="23"/>
      <c r="AC35" s="23"/>
    </row>
    <row r="36" ht="63.75" customHeight="1">
      <c r="A36" s="27" t="s">
        <v>169</v>
      </c>
      <c r="B36" s="27" t="s">
        <v>170</v>
      </c>
      <c r="C36" s="27" t="s">
        <v>133</v>
      </c>
      <c r="D36" s="27" t="s">
        <v>35</v>
      </c>
      <c r="E36" s="27" t="s">
        <v>171</v>
      </c>
      <c r="F36" s="37"/>
      <c r="G36" s="27" t="s">
        <v>49</v>
      </c>
      <c r="H36" s="29">
        <v>45632.0</v>
      </c>
      <c r="I36" s="36"/>
      <c r="J36" s="29">
        <v>45680.0</v>
      </c>
      <c r="K36" s="30">
        <f t="shared" si="1"/>
        <v>48</v>
      </c>
      <c r="L36" s="27" t="s">
        <v>40</v>
      </c>
      <c r="M36" s="41"/>
      <c r="N36" s="33"/>
      <c r="O36" s="27" t="s">
        <v>81</v>
      </c>
      <c r="P36" s="27"/>
      <c r="Q36" s="41"/>
      <c r="R36" s="35"/>
      <c r="S36" s="36"/>
      <c r="T36" s="37"/>
      <c r="U36" s="37"/>
      <c r="V36" s="37"/>
      <c r="W36" s="37"/>
      <c r="X36" s="37"/>
      <c r="Y36" s="38"/>
      <c r="Z36" s="37"/>
      <c r="AA36" s="37"/>
      <c r="AB36" s="37"/>
      <c r="AC36" s="37"/>
    </row>
    <row r="37" ht="53.25" customHeight="1">
      <c r="A37" s="13" t="s">
        <v>172</v>
      </c>
      <c r="B37" s="13" t="s">
        <v>173</v>
      </c>
      <c r="C37" s="13" t="s">
        <v>133</v>
      </c>
      <c r="D37" s="13" t="s">
        <v>35</v>
      </c>
      <c r="E37" s="13" t="s">
        <v>174</v>
      </c>
      <c r="F37" s="23"/>
      <c r="G37" s="13" t="s">
        <v>49</v>
      </c>
      <c r="H37" s="15">
        <v>45477.0</v>
      </c>
      <c r="I37" s="22"/>
      <c r="J37" s="15">
        <v>45676.0</v>
      </c>
      <c r="K37" s="17">
        <f t="shared" si="1"/>
        <v>199</v>
      </c>
      <c r="L37" s="13" t="s">
        <v>40</v>
      </c>
      <c r="M37" s="18"/>
      <c r="N37" s="26"/>
      <c r="O37" s="13" t="s">
        <v>81</v>
      </c>
      <c r="P37" s="13"/>
      <c r="Q37" s="18"/>
      <c r="R37" s="21"/>
      <c r="S37" s="22"/>
      <c r="T37" s="23"/>
      <c r="U37" s="23"/>
      <c r="V37" s="23"/>
      <c r="W37" s="23"/>
      <c r="X37" s="23"/>
      <c r="Y37" s="24"/>
      <c r="Z37" s="23"/>
      <c r="AA37" s="23"/>
      <c r="AB37" s="23"/>
      <c r="AC37" s="23"/>
    </row>
    <row r="38" ht="42.75" customHeight="1">
      <c r="A38" s="27" t="s">
        <v>175</v>
      </c>
      <c r="B38" s="27" t="s">
        <v>176</v>
      </c>
      <c r="C38" s="27" t="s">
        <v>133</v>
      </c>
      <c r="D38" s="27" t="s">
        <v>35</v>
      </c>
      <c r="E38" s="27" t="s">
        <v>177</v>
      </c>
      <c r="F38" s="37"/>
      <c r="G38" s="27" t="s">
        <v>49</v>
      </c>
      <c r="H38" s="29">
        <v>45740.0</v>
      </c>
      <c r="I38" s="36"/>
      <c r="J38" s="29">
        <v>45870.0</v>
      </c>
      <c r="K38" s="30">
        <f t="shared" si="1"/>
        <v>130</v>
      </c>
      <c r="L38" s="27" t="s">
        <v>40</v>
      </c>
      <c r="M38" s="41"/>
      <c r="N38" s="33"/>
      <c r="O38" s="27" t="s">
        <v>81</v>
      </c>
      <c r="P38" s="27"/>
      <c r="Q38" s="41"/>
      <c r="R38" s="35"/>
      <c r="S38" s="36"/>
      <c r="T38" s="37"/>
      <c r="U38" s="37"/>
      <c r="V38" s="37"/>
      <c r="W38" s="37"/>
      <c r="X38" s="37"/>
      <c r="Y38" s="38"/>
      <c r="Z38" s="37"/>
      <c r="AA38" s="37"/>
      <c r="AB38" s="37"/>
      <c r="AC38" s="37"/>
    </row>
    <row r="39" ht="53.25" customHeight="1">
      <c r="A39" s="13" t="s">
        <v>178</v>
      </c>
      <c r="B39" s="13" t="s">
        <v>179</v>
      </c>
      <c r="C39" s="13" t="s">
        <v>133</v>
      </c>
      <c r="D39" s="13" t="s">
        <v>35</v>
      </c>
      <c r="E39" s="13" t="s">
        <v>180</v>
      </c>
      <c r="F39" s="23"/>
      <c r="G39" s="13" t="s">
        <v>49</v>
      </c>
      <c r="H39" s="15">
        <v>45730.0</v>
      </c>
      <c r="I39" s="22"/>
      <c r="J39" s="15">
        <v>45788.0</v>
      </c>
      <c r="K39" s="17">
        <f t="shared" si="1"/>
        <v>58</v>
      </c>
      <c r="L39" s="13" t="s">
        <v>40</v>
      </c>
      <c r="M39" s="18"/>
      <c r="N39" s="26"/>
      <c r="O39" s="13" t="s">
        <v>81</v>
      </c>
      <c r="P39" s="13" t="s">
        <v>42</v>
      </c>
      <c r="Q39" s="18"/>
      <c r="R39" s="21"/>
      <c r="S39" s="22"/>
      <c r="T39" s="23"/>
      <c r="U39" s="23"/>
      <c r="V39" s="23"/>
      <c r="W39" s="23"/>
      <c r="X39" s="23"/>
      <c r="Y39" s="24"/>
      <c r="Z39" s="23"/>
      <c r="AA39" s="23"/>
      <c r="AB39" s="23"/>
      <c r="AC39" s="23"/>
    </row>
    <row r="40" ht="53.25" customHeight="1">
      <c r="A40" s="27" t="s">
        <v>181</v>
      </c>
      <c r="B40" s="27" t="s">
        <v>182</v>
      </c>
      <c r="C40" s="27" t="s">
        <v>133</v>
      </c>
      <c r="D40" s="27" t="s">
        <v>35</v>
      </c>
      <c r="E40" s="27" t="s">
        <v>183</v>
      </c>
      <c r="F40" s="37"/>
      <c r="G40" s="27" t="s">
        <v>163</v>
      </c>
      <c r="H40" s="29">
        <v>45719.0</v>
      </c>
      <c r="I40" s="36"/>
      <c r="J40" s="29">
        <v>45808.0</v>
      </c>
      <c r="K40" s="30">
        <f t="shared" si="1"/>
        <v>89</v>
      </c>
      <c r="L40" s="27" t="s">
        <v>40</v>
      </c>
      <c r="M40" s="41"/>
      <c r="N40" s="33"/>
      <c r="O40" s="27" t="s">
        <v>58</v>
      </c>
      <c r="P40" s="27"/>
      <c r="Q40" s="41"/>
      <c r="R40" s="35"/>
      <c r="S40" s="36"/>
      <c r="T40" s="37"/>
      <c r="U40" s="37"/>
      <c r="V40" s="37"/>
      <c r="W40" s="37"/>
      <c r="X40" s="37"/>
      <c r="Y40" s="38"/>
      <c r="Z40" s="37"/>
      <c r="AA40" s="37"/>
      <c r="AB40" s="37"/>
      <c r="AC40" s="37"/>
    </row>
    <row r="41" ht="21.75" customHeight="1">
      <c r="A41" s="13" t="s">
        <v>184</v>
      </c>
      <c r="B41" s="13" t="s">
        <v>185</v>
      </c>
      <c r="C41" s="13" t="s">
        <v>186</v>
      </c>
      <c r="D41" s="13" t="s">
        <v>35</v>
      </c>
      <c r="E41" s="13" t="s">
        <v>187</v>
      </c>
      <c r="F41" s="23"/>
      <c r="G41" s="13" t="s">
        <v>75</v>
      </c>
      <c r="H41" s="15">
        <v>45412.0</v>
      </c>
      <c r="I41" s="22"/>
      <c r="J41" s="15">
        <v>45748.0</v>
      </c>
      <c r="K41" s="17">
        <f t="shared" si="1"/>
        <v>336</v>
      </c>
      <c r="L41" s="13" t="s">
        <v>56</v>
      </c>
      <c r="M41" s="18"/>
      <c r="N41" s="26"/>
      <c r="O41" s="13" t="s">
        <v>41</v>
      </c>
      <c r="P41" s="13"/>
      <c r="Q41" s="18"/>
      <c r="R41" s="21"/>
      <c r="S41" s="22"/>
      <c r="T41" s="23"/>
      <c r="U41" s="23"/>
      <c r="V41" s="23"/>
      <c r="W41" s="23"/>
      <c r="X41" s="23"/>
      <c r="Y41" s="24"/>
      <c r="Z41" s="23"/>
      <c r="AA41" s="23"/>
      <c r="AB41" s="23"/>
      <c r="AC41" s="23"/>
    </row>
    <row r="42" ht="32.25" customHeight="1">
      <c r="A42" s="27" t="s">
        <v>188</v>
      </c>
      <c r="B42" s="27" t="s">
        <v>189</v>
      </c>
      <c r="C42" s="27" t="s">
        <v>186</v>
      </c>
      <c r="D42" s="27" t="s">
        <v>35</v>
      </c>
      <c r="E42" s="27" t="s">
        <v>190</v>
      </c>
      <c r="F42" s="37"/>
      <c r="G42" s="27" t="s">
        <v>75</v>
      </c>
      <c r="H42" s="29">
        <v>45412.0</v>
      </c>
      <c r="I42" s="36"/>
      <c r="J42" s="29">
        <v>45748.0</v>
      </c>
      <c r="K42" s="30">
        <f t="shared" si="1"/>
        <v>336</v>
      </c>
      <c r="L42" s="27" t="s">
        <v>56</v>
      </c>
      <c r="M42" s="41"/>
      <c r="N42" s="33"/>
      <c r="O42" s="27" t="s">
        <v>41</v>
      </c>
      <c r="P42" s="27"/>
      <c r="Q42" s="41"/>
      <c r="R42" s="35"/>
      <c r="S42" s="36"/>
      <c r="T42" s="37"/>
      <c r="U42" s="37"/>
      <c r="V42" s="37"/>
      <c r="W42" s="37"/>
      <c r="X42" s="37"/>
      <c r="Y42" s="38"/>
      <c r="Z42" s="37"/>
      <c r="AA42" s="37"/>
      <c r="AB42" s="37"/>
      <c r="AC42" s="37"/>
    </row>
    <row r="43" ht="32.25" customHeight="1">
      <c r="A43" s="13" t="s">
        <v>191</v>
      </c>
      <c r="B43" s="13" t="s">
        <v>192</v>
      </c>
      <c r="C43" s="13" t="s">
        <v>186</v>
      </c>
      <c r="D43" s="13" t="s">
        <v>35</v>
      </c>
      <c r="E43" s="13" t="s">
        <v>193</v>
      </c>
      <c r="F43" s="23"/>
      <c r="G43" s="13" t="s">
        <v>75</v>
      </c>
      <c r="H43" s="15">
        <v>45412.0</v>
      </c>
      <c r="I43" s="22"/>
      <c r="J43" s="15">
        <v>45748.0</v>
      </c>
      <c r="K43" s="17">
        <f t="shared" si="1"/>
        <v>336</v>
      </c>
      <c r="L43" s="13" t="s">
        <v>56</v>
      </c>
      <c r="M43" s="18"/>
      <c r="N43" s="26"/>
      <c r="O43" s="13" t="s">
        <v>41</v>
      </c>
      <c r="P43" s="13"/>
      <c r="Q43" s="18"/>
      <c r="R43" s="21"/>
      <c r="S43" s="22"/>
      <c r="T43" s="23"/>
      <c r="U43" s="23"/>
      <c r="V43" s="23"/>
      <c r="W43" s="23"/>
      <c r="X43" s="23"/>
      <c r="Y43" s="24"/>
      <c r="Z43" s="23"/>
      <c r="AA43" s="23"/>
      <c r="AB43" s="23"/>
      <c r="AC43" s="23"/>
    </row>
    <row r="44" ht="21.75" customHeight="1">
      <c r="A44" s="27" t="s">
        <v>194</v>
      </c>
      <c r="B44" s="27" t="s">
        <v>195</v>
      </c>
      <c r="C44" s="27" t="s">
        <v>186</v>
      </c>
      <c r="D44" s="27" t="s">
        <v>35</v>
      </c>
      <c r="E44" s="27" t="s">
        <v>196</v>
      </c>
      <c r="F44" s="37"/>
      <c r="G44" s="27" t="s">
        <v>75</v>
      </c>
      <c r="H44" s="29">
        <v>45412.0</v>
      </c>
      <c r="I44" s="36"/>
      <c r="J44" s="29">
        <v>45748.0</v>
      </c>
      <c r="K44" s="30">
        <f t="shared" si="1"/>
        <v>336</v>
      </c>
      <c r="L44" s="27" t="s">
        <v>56</v>
      </c>
      <c r="M44" s="41"/>
      <c r="N44" s="33"/>
      <c r="O44" s="27" t="s">
        <v>41</v>
      </c>
      <c r="P44" s="27"/>
      <c r="Q44" s="41"/>
      <c r="R44" s="35"/>
      <c r="S44" s="36"/>
      <c r="T44" s="37"/>
      <c r="U44" s="37"/>
      <c r="V44" s="37"/>
      <c r="W44" s="37"/>
      <c r="X44" s="37"/>
      <c r="Y44" s="38"/>
      <c r="Z44" s="37"/>
      <c r="AA44" s="37"/>
      <c r="AB44" s="37"/>
      <c r="AC44" s="37"/>
    </row>
    <row r="45" ht="42.75" customHeight="1">
      <c r="A45" s="13" t="s">
        <v>197</v>
      </c>
      <c r="B45" s="13" t="s">
        <v>198</v>
      </c>
      <c r="C45" s="13" t="s">
        <v>199</v>
      </c>
      <c r="D45" s="13" t="s">
        <v>35</v>
      </c>
      <c r="E45" s="13" t="s">
        <v>200</v>
      </c>
      <c r="F45" s="23"/>
      <c r="G45" s="13" t="s">
        <v>38</v>
      </c>
      <c r="H45" s="15">
        <v>45676.0</v>
      </c>
      <c r="I45" s="22"/>
      <c r="J45" s="15">
        <v>45869.0</v>
      </c>
      <c r="K45" s="17">
        <f t="shared" si="1"/>
        <v>193</v>
      </c>
      <c r="L45" s="13" t="s">
        <v>40</v>
      </c>
      <c r="M45" s="18"/>
      <c r="N45" s="26"/>
      <c r="O45" s="13"/>
      <c r="P45" s="13" t="s">
        <v>42</v>
      </c>
      <c r="Q45" s="18"/>
      <c r="R45" s="21"/>
      <c r="S45" s="22"/>
      <c r="T45" s="23"/>
      <c r="U45" s="23"/>
      <c r="V45" s="23"/>
      <c r="W45" s="23"/>
      <c r="X45" s="23"/>
      <c r="Y45" s="24"/>
      <c r="Z45" s="23"/>
      <c r="AA45" s="23"/>
      <c r="AB45" s="23"/>
      <c r="AC45" s="23"/>
    </row>
    <row r="46" ht="32.25" customHeight="1">
      <c r="A46" s="27" t="s">
        <v>201</v>
      </c>
      <c r="B46" s="27" t="s">
        <v>202</v>
      </c>
      <c r="C46" s="27" t="s">
        <v>34</v>
      </c>
      <c r="D46" s="27" t="s">
        <v>35</v>
      </c>
      <c r="E46" s="27" t="s">
        <v>203</v>
      </c>
      <c r="F46" s="37"/>
      <c r="G46" s="27" t="s">
        <v>49</v>
      </c>
      <c r="H46" s="29">
        <v>45476.0</v>
      </c>
      <c r="I46" s="36"/>
      <c r="J46" s="29">
        <v>45669.0</v>
      </c>
      <c r="K46" s="30">
        <f t="shared" si="1"/>
        <v>193</v>
      </c>
      <c r="L46" s="27" t="s">
        <v>64</v>
      </c>
      <c r="M46" s="41"/>
      <c r="N46" s="33"/>
      <c r="O46" s="27" t="s">
        <v>58</v>
      </c>
      <c r="P46" s="27"/>
      <c r="Q46" s="41"/>
      <c r="R46" s="35"/>
      <c r="S46" s="36"/>
      <c r="T46" s="37"/>
      <c r="U46" s="37"/>
      <c r="V46" s="37"/>
      <c r="W46" s="37"/>
      <c r="X46" s="37"/>
      <c r="Y46" s="38"/>
      <c r="Z46" s="37"/>
      <c r="AA46" s="37"/>
      <c r="AB46" s="37"/>
      <c r="AC46" s="37"/>
    </row>
    <row r="47" ht="32.25" customHeight="1">
      <c r="A47" s="13" t="s">
        <v>204</v>
      </c>
      <c r="B47" s="13" t="s">
        <v>205</v>
      </c>
      <c r="C47" s="13" t="s">
        <v>34</v>
      </c>
      <c r="D47" s="13" t="s">
        <v>35</v>
      </c>
      <c r="E47" s="13" t="s">
        <v>203</v>
      </c>
      <c r="F47" s="23"/>
      <c r="G47" s="13" t="s">
        <v>49</v>
      </c>
      <c r="H47" s="15">
        <v>45660.0</v>
      </c>
      <c r="I47" s="22"/>
      <c r="J47" s="15">
        <v>45748.0</v>
      </c>
      <c r="K47" s="17">
        <f t="shared" si="1"/>
        <v>88</v>
      </c>
      <c r="L47" s="13" t="s">
        <v>40</v>
      </c>
      <c r="M47" s="18"/>
      <c r="N47" s="26"/>
      <c r="O47" s="13" t="s">
        <v>81</v>
      </c>
      <c r="P47" s="13" t="s">
        <v>42</v>
      </c>
      <c r="Q47" s="18"/>
      <c r="R47" s="21"/>
      <c r="S47" s="22"/>
      <c r="T47" s="23"/>
      <c r="U47" s="23"/>
      <c r="V47" s="23"/>
      <c r="W47" s="23"/>
      <c r="X47" s="23"/>
      <c r="Y47" s="24"/>
      <c r="Z47" s="23"/>
      <c r="AA47" s="23"/>
      <c r="AB47" s="23"/>
      <c r="AC47" s="23"/>
    </row>
    <row r="48" ht="42.75" customHeight="1">
      <c r="A48" s="27" t="s">
        <v>206</v>
      </c>
      <c r="B48" s="27" t="s">
        <v>207</v>
      </c>
      <c r="C48" s="27" t="s">
        <v>34</v>
      </c>
      <c r="D48" s="27" t="s">
        <v>35</v>
      </c>
      <c r="E48" s="27" t="s">
        <v>208</v>
      </c>
      <c r="F48" s="37"/>
      <c r="G48" s="27" t="s">
        <v>49</v>
      </c>
      <c r="H48" s="29">
        <v>45471.0</v>
      </c>
      <c r="I48" s="36"/>
      <c r="J48" s="29">
        <v>45665.0</v>
      </c>
      <c r="K48" s="30">
        <f t="shared" si="1"/>
        <v>194</v>
      </c>
      <c r="L48" s="27" t="s">
        <v>40</v>
      </c>
      <c r="M48" s="41"/>
      <c r="N48" s="33"/>
      <c r="O48" s="27" t="s">
        <v>51</v>
      </c>
      <c r="P48" s="27"/>
      <c r="Q48" s="41"/>
      <c r="R48" s="35"/>
      <c r="S48" s="36"/>
      <c r="T48" s="37"/>
      <c r="U48" s="37"/>
      <c r="V48" s="37"/>
      <c r="W48" s="37"/>
      <c r="X48" s="37"/>
      <c r="Y48" s="38"/>
      <c r="Z48" s="37"/>
      <c r="AA48" s="37"/>
      <c r="AB48" s="37"/>
      <c r="AC48" s="37"/>
    </row>
    <row r="49" ht="32.25" customHeight="1">
      <c r="A49" s="13" t="s">
        <v>209</v>
      </c>
      <c r="B49" s="13" t="s">
        <v>210</v>
      </c>
      <c r="C49" s="13" t="s">
        <v>34</v>
      </c>
      <c r="D49" s="13" t="s">
        <v>35</v>
      </c>
      <c r="E49" s="13" t="s">
        <v>203</v>
      </c>
      <c r="F49" s="23"/>
      <c r="G49" s="13" t="s">
        <v>91</v>
      </c>
      <c r="H49" s="15">
        <v>45730.0</v>
      </c>
      <c r="I49" s="22"/>
      <c r="J49" s="15">
        <v>45869.0</v>
      </c>
      <c r="K49" s="17">
        <f t="shared" si="1"/>
        <v>139</v>
      </c>
      <c r="L49" s="13" t="s">
        <v>64</v>
      </c>
      <c r="M49" s="18"/>
      <c r="N49" s="26"/>
      <c r="O49" s="13" t="s">
        <v>58</v>
      </c>
      <c r="P49" s="13"/>
      <c r="Q49" s="18"/>
      <c r="R49" s="21"/>
      <c r="S49" s="22"/>
      <c r="T49" s="23"/>
      <c r="U49" s="23"/>
      <c r="V49" s="23"/>
      <c r="W49" s="23"/>
      <c r="X49" s="23"/>
      <c r="Y49" s="24"/>
      <c r="Z49" s="23"/>
      <c r="AA49" s="23"/>
      <c r="AB49" s="23"/>
      <c r="AC49" s="23"/>
    </row>
    <row r="50" ht="32.25" customHeight="1">
      <c r="A50" s="27" t="s">
        <v>211</v>
      </c>
      <c r="B50" s="27" t="s">
        <v>212</v>
      </c>
      <c r="C50" s="27" t="s">
        <v>34</v>
      </c>
      <c r="D50" s="27" t="s">
        <v>35</v>
      </c>
      <c r="E50" s="27" t="s">
        <v>203</v>
      </c>
      <c r="F50" s="37"/>
      <c r="G50" s="27" t="s">
        <v>91</v>
      </c>
      <c r="H50" s="29">
        <v>45660.0</v>
      </c>
      <c r="I50" s="36"/>
      <c r="J50" s="29">
        <v>45899.0</v>
      </c>
      <c r="K50" s="30">
        <f t="shared" si="1"/>
        <v>239</v>
      </c>
      <c r="L50" s="27" t="s">
        <v>64</v>
      </c>
      <c r="M50" s="41"/>
      <c r="N50" s="33"/>
      <c r="O50" s="27" t="s">
        <v>58</v>
      </c>
      <c r="P50" s="27"/>
      <c r="Q50" s="41"/>
      <c r="R50" s="35"/>
      <c r="S50" s="36"/>
      <c r="T50" s="37"/>
      <c r="U50" s="37"/>
      <c r="V50" s="37"/>
      <c r="W50" s="37"/>
      <c r="X50" s="37"/>
      <c r="Y50" s="38"/>
      <c r="Z50" s="37"/>
      <c r="AA50" s="37"/>
      <c r="AB50" s="37"/>
      <c r="AC50" s="37"/>
    </row>
    <row r="51" ht="42.75" customHeight="1">
      <c r="A51" s="13" t="s">
        <v>213</v>
      </c>
      <c r="B51" s="13" t="s">
        <v>214</v>
      </c>
      <c r="C51" s="13" t="s">
        <v>34</v>
      </c>
      <c r="D51" s="13" t="s">
        <v>35</v>
      </c>
      <c r="E51" s="13" t="s">
        <v>215</v>
      </c>
      <c r="F51" s="23"/>
      <c r="G51" s="13" t="s">
        <v>75</v>
      </c>
      <c r="H51" s="15">
        <v>45593.0</v>
      </c>
      <c r="I51" s="22"/>
      <c r="J51" s="15">
        <v>45677.0</v>
      </c>
      <c r="K51" s="17">
        <f t="shared" si="1"/>
        <v>84</v>
      </c>
      <c r="L51" s="13" t="s">
        <v>40</v>
      </c>
      <c r="M51" s="18"/>
      <c r="N51" s="26"/>
      <c r="O51" s="13" t="s">
        <v>41</v>
      </c>
      <c r="P51" s="13" t="s">
        <v>42</v>
      </c>
      <c r="Q51" s="18"/>
      <c r="R51" s="21"/>
      <c r="S51" s="22"/>
      <c r="T51" s="23"/>
      <c r="U51" s="23"/>
      <c r="V51" s="23"/>
      <c r="W51" s="23"/>
      <c r="X51" s="23"/>
      <c r="Y51" s="24"/>
      <c r="Z51" s="23"/>
      <c r="AA51" s="23"/>
      <c r="AB51" s="23"/>
      <c r="AC51" s="23"/>
    </row>
    <row r="52" ht="32.25" customHeight="1">
      <c r="A52" s="27" t="s">
        <v>216</v>
      </c>
      <c r="B52" s="27" t="s">
        <v>217</v>
      </c>
      <c r="C52" s="27" t="s">
        <v>218</v>
      </c>
      <c r="D52" s="27" t="s">
        <v>35</v>
      </c>
      <c r="E52" s="27" t="s">
        <v>219</v>
      </c>
      <c r="F52" s="28" t="s">
        <v>220</v>
      </c>
      <c r="G52" s="27" t="s">
        <v>49</v>
      </c>
      <c r="H52" s="29">
        <v>45566.0</v>
      </c>
      <c r="I52" s="36"/>
      <c r="J52" s="29">
        <v>45903.0</v>
      </c>
      <c r="K52" s="30">
        <f t="shared" si="1"/>
        <v>337</v>
      </c>
      <c r="L52" s="27" t="s">
        <v>40</v>
      </c>
      <c r="M52" s="32" t="s">
        <v>221</v>
      </c>
      <c r="N52" s="33"/>
      <c r="O52" s="27" t="s">
        <v>41</v>
      </c>
      <c r="P52" s="31" t="s">
        <v>42</v>
      </c>
      <c r="Q52" s="41"/>
      <c r="R52" s="35"/>
      <c r="S52" s="36"/>
      <c r="T52" s="37"/>
      <c r="U52" s="37"/>
      <c r="V52" s="37"/>
      <c r="W52" s="37"/>
      <c r="X52" s="37"/>
      <c r="Y52" s="38"/>
      <c r="Z52" s="37"/>
      <c r="AA52" s="37"/>
      <c r="AB52" s="37"/>
      <c r="AC52" s="37"/>
    </row>
    <row r="53" ht="21.75" customHeight="1">
      <c r="A53" s="13" t="s">
        <v>222</v>
      </c>
      <c r="B53" s="13" t="s">
        <v>223</v>
      </c>
      <c r="C53" s="13" t="s">
        <v>218</v>
      </c>
      <c r="D53" s="13" t="s">
        <v>35</v>
      </c>
      <c r="E53" s="13" t="s">
        <v>224</v>
      </c>
      <c r="F53" s="14" t="s">
        <v>220</v>
      </c>
      <c r="G53" s="20" t="s">
        <v>75</v>
      </c>
      <c r="H53" s="15">
        <v>45680.0</v>
      </c>
      <c r="I53" s="22"/>
      <c r="J53" s="16">
        <v>46045.0</v>
      </c>
      <c r="K53" s="17">
        <f t="shared" si="1"/>
        <v>365</v>
      </c>
      <c r="L53" s="13" t="s">
        <v>40</v>
      </c>
      <c r="M53" s="25" t="s">
        <v>225</v>
      </c>
      <c r="N53" s="26"/>
      <c r="O53" s="20" t="s">
        <v>41</v>
      </c>
      <c r="P53" s="13" t="s">
        <v>42</v>
      </c>
      <c r="Q53" s="18"/>
      <c r="R53" s="21"/>
      <c r="S53" s="22"/>
      <c r="T53" s="23"/>
      <c r="U53" s="23"/>
      <c r="V53" s="23"/>
      <c r="W53" s="23"/>
      <c r="X53" s="23"/>
      <c r="Y53" s="24"/>
      <c r="Z53" s="23"/>
      <c r="AA53" s="23"/>
      <c r="AB53" s="23"/>
      <c r="AC53" s="23"/>
    </row>
    <row r="54" ht="32.25" customHeight="1">
      <c r="A54" s="27" t="s">
        <v>226</v>
      </c>
      <c r="B54" s="27" t="s">
        <v>217</v>
      </c>
      <c r="C54" s="27" t="s">
        <v>218</v>
      </c>
      <c r="D54" s="27" t="s">
        <v>35</v>
      </c>
      <c r="E54" s="27" t="s">
        <v>219</v>
      </c>
      <c r="F54" s="28" t="s">
        <v>220</v>
      </c>
      <c r="G54" s="27" t="s">
        <v>49</v>
      </c>
      <c r="H54" s="29">
        <v>45474.0</v>
      </c>
      <c r="I54" s="36"/>
      <c r="J54" s="29">
        <v>45680.0</v>
      </c>
      <c r="K54" s="30">
        <f t="shared" si="1"/>
        <v>206</v>
      </c>
      <c r="L54" s="27" t="s">
        <v>40</v>
      </c>
      <c r="M54" s="32" t="s">
        <v>227</v>
      </c>
      <c r="N54" s="33"/>
      <c r="O54" s="27"/>
      <c r="P54" s="27"/>
      <c r="Q54" s="41"/>
      <c r="R54" s="35"/>
      <c r="S54" s="36"/>
      <c r="T54" s="37"/>
      <c r="U54" s="37"/>
      <c r="V54" s="37"/>
      <c r="W54" s="37"/>
      <c r="X54" s="37"/>
      <c r="Y54" s="38"/>
      <c r="Z54" s="37"/>
      <c r="AA54" s="37"/>
      <c r="AB54" s="37"/>
      <c r="AC54" s="37"/>
    </row>
    <row r="55" ht="21.75" customHeight="1">
      <c r="A55" s="13" t="s">
        <v>228</v>
      </c>
      <c r="B55" s="13" t="s">
        <v>229</v>
      </c>
      <c r="C55" s="13" t="s">
        <v>218</v>
      </c>
      <c r="D55" s="13" t="s">
        <v>35</v>
      </c>
      <c r="E55" s="13" t="s">
        <v>230</v>
      </c>
      <c r="F55" s="14" t="s">
        <v>220</v>
      </c>
      <c r="G55" s="13" t="s">
        <v>49</v>
      </c>
      <c r="H55" s="15">
        <v>45536.0</v>
      </c>
      <c r="I55" s="22"/>
      <c r="J55" s="15">
        <v>45930.0</v>
      </c>
      <c r="K55" s="17">
        <f t="shared" si="1"/>
        <v>394</v>
      </c>
      <c r="L55" s="13" t="s">
        <v>40</v>
      </c>
      <c r="M55" s="25" t="s">
        <v>231</v>
      </c>
      <c r="N55" s="26"/>
      <c r="O55" s="13" t="s">
        <v>41</v>
      </c>
      <c r="P55" s="13" t="s">
        <v>42</v>
      </c>
      <c r="Q55" s="18"/>
      <c r="R55" s="21"/>
      <c r="S55" s="22"/>
      <c r="T55" s="23"/>
      <c r="U55" s="23"/>
      <c r="V55" s="23"/>
      <c r="W55" s="23"/>
      <c r="X55" s="23"/>
      <c r="Y55" s="24"/>
      <c r="Z55" s="23"/>
      <c r="AA55" s="23"/>
      <c r="AB55" s="23"/>
      <c r="AC55" s="23"/>
    </row>
    <row r="56" ht="32.25" customHeight="1">
      <c r="A56" s="27" t="s">
        <v>232</v>
      </c>
      <c r="B56" s="27" t="s">
        <v>233</v>
      </c>
      <c r="C56" s="27" t="s">
        <v>34</v>
      </c>
      <c r="D56" s="27" t="s">
        <v>35</v>
      </c>
      <c r="E56" s="27" t="s">
        <v>234</v>
      </c>
      <c r="F56" s="37"/>
      <c r="G56" s="27" t="s">
        <v>75</v>
      </c>
      <c r="H56" s="29">
        <v>45667.0</v>
      </c>
      <c r="I56" s="36"/>
      <c r="J56" s="29">
        <v>45742.0</v>
      </c>
      <c r="K56" s="30">
        <f t="shared" si="1"/>
        <v>75</v>
      </c>
      <c r="L56" s="27" t="s">
        <v>40</v>
      </c>
      <c r="M56" s="41"/>
      <c r="N56" s="33"/>
      <c r="O56" s="27" t="s">
        <v>58</v>
      </c>
      <c r="P56" s="27"/>
      <c r="Q56" s="41"/>
      <c r="R56" s="35"/>
      <c r="S56" s="36"/>
      <c r="T56" s="37"/>
      <c r="U56" s="37"/>
      <c r="V56" s="37"/>
      <c r="W56" s="37"/>
      <c r="X56" s="37"/>
      <c r="Y56" s="38"/>
      <c r="Z56" s="37"/>
      <c r="AA56" s="37"/>
      <c r="AB56" s="37"/>
      <c r="AC56" s="37"/>
    </row>
    <row r="57" ht="15.0" customHeight="1">
      <c r="A57" s="13" t="s">
        <v>235</v>
      </c>
      <c r="B57" s="13" t="s">
        <v>236</v>
      </c>
      <c r="C57" s="13" t="s">
        <v>186</v>
      </c>
      <c r="D57" s="13" t="s">
        <v>35</v>
      </c>
      <c r="E57" s="13" t="s">
        <v>237</v>
      </c>
      <c r="F57" s="14" t="s">
        <v>37</v>
      </c>
      <c r="G57" s="13" t="s">
        <v>75</v>
      </c>
      <c r="H57" s="15">
        <v>45392.0</v>
      </c>
      <c r="I57" s="22"/>
      <c r="J57" s="15">
        <v>45683.0</v>
      </c>
      <c r="K57" s="17">
        <f t="shared" si="1"/>
        <v>291</v>
      </c>
      <c r="L57" s="13" t="s">
        <v>56</v>
      </c>
      <c r="M57" s="32" t="s">
        <v>238</v>
      </c>
      <c r="N57" s="26"/>
      <c r="O57" s="13" t="s">
        <v>41</v>
      </c>
      <c r="P57" s="13"/>
      <c r="Q57" s="18"/>
      <c r="R57" s="21"/>
      <c r="S57" s="22"/>
      <c r="T57" s="23"/>
      <c r="U57" s="23"/>
      <c r="V57" s="23"/>
      <c r="W57" s="23"/>
      <c r="X57" s="23"/>
      <c r="Y57" s="24"/>
      <c r="Z57" s="23"/>
      <c r="AA57" s="14" t="s">
        <v>104</v>
      </c>
      <c r="AB57" s="23"/>
      <c r="AC57" s="23"/>
    </row>
    <row r="58" ht="21.75" customHeight="1">
      <c r="A58" s="27" t="s">
        <v>239</v>
      </c>
      <c r="B58" s="27" t="s">
        <v>236</v>
      </c>
      <c r="C58" s="27" t="s">
        <v>186</v>
      </c>
      <c r="D58" s="27" t="s">
        <v>35</v>
      </c>
      <c r="E58" s="27" t="s">
        <v>237</v>
      </c>
      <c r="F58" s="28" t="s">
        <v>37</v>
      </c>
      <c r="G58" s="27" t="s">
        <v>75</v>
      </c>
      <c r="H58" s="29">
        <v>45392.0</v>
      </c>
      <c r="I58" s="36"/>
      <c r="J58" s="29">
        <v>45683.0</v>
      </c>
      <c r="K58" s="30">
        <f t="shared" si="1"/>
        <v>291</v>
      </c>
      <c r="L58" s="27" t="s">
        <v>56</v>
      </c>
      <c r="M58" s="32" t="s">
        <v>238</v>
      </c>
      <c r="N58" s="33"/>
      <c r="O58" s="27" t="s">
        <v>41</v>
      </c>
      <c r="P58" s="27"/>
      <c r="Q58" s="41"/>
      <c r="R58" s="35"/>
      <c r="S58" s="36"/>
      <c r="T58" s="37"/>
      <c r="U58" s="37"/>
      <c r="V58" s="37"/>
      <c r="W58" s="37"/>
      <c r="X58" s="37"/>
      <c r="Y58" s="38"/>
      <c r="Z58" s="37"/>
      <c r="AA58" s="28" t="s">
        <v>104</v>
      </c>
      <c r="AB58" s="37"/>
      <c r="AC58" s="37"/>
    </row>
    <row r="59" ht="32.25" customHeight="1">
      <c r="A59" s="13" t="s">
        <v>240</v>
      </c>
      <c r="B59" s="13" t="s">
        <v>241</v>
      </c>
      <c r="C59" s="13" t="s">
        <v>186</v>
      </c>
      <c r="D59" s="13" t="s">
        <v>35</v>
      </c>
      <c r="E59" s="13" t="s">
        <v>237</v>
      </c>
      <c r="F59" s="14" t="s">
        <v>37</v>
      </c>
      <c r="G59" s="13" t="s">
        <v>75</v>
      </c>
      <c r="H59" s="15">
        <v>45392.0</v>
      </c>
      <c r="I59" s="22"/>
      <c r="J59" s="15">
        <v>45683.0</v>
      </c>
      <c r="K59" s="17">
        <f t="shared" si="1"/>
        <v>291</v>
      </c>
      <c r="L59" s="13" t="s">
        <v>56</v>
      </c>
      <c r="M59" s="32" t="s">
        <v>238</v>
      </c>
      <c r="N59" s="26"/>
      <c r="O59" s="13" t="s">
        <v>41</v>
      </c>
      <c r="P59" s="13"/>
      <c r="Q59" s="18"/>
      <c r="R59" s="21"/>
      <c r="S59" s="22"/>
      <c r="T59" s="23"/>
      <c r="U59" s="23"/>
      <c r="V59" s="23"/>
      <c r="W59" s="23"/>
      <c r="X59" s="23"/>
      <c r="Y59" s="24"/>
      <c r="Z59" s="23"/>
      <c r="AA59" s="14" t="s">
        <v>104</v>
      </c>
      <c r="AB59" s="23"/>
      <c r="AC59" s="23"/>
    </row>
    <row r="60" ht="32.25" customHeight="1">
      <c r="A60" s="27" t="s">
        <v>242</v>
      </c>
      <c r="B60" s="27" t="s">
        <v>243</v>
      </c>
      <c r="C60" s="27" t="s">
        <v>186</v>
      </c>
      <c r="D60" s="27" t="s">
        <v>35</v>
      </c>
      <c r="E60" s="27" t="s">
        <v>237</v>
      </c>
      <c r="F60" s="28" t="s">
        <v>37</v>
      </c>
      <c r="G60" s="27" t="s">
        <v>75</v>
      </c>
      <c r="H60" s="29">
        <v>45392.0</v>
      </c>
      <c r="I60" s="36"/>
      <c r="J60" s="29">
        <v>45683.0</v>
      </c>
      <c r="K60" s="30">
        <f t="shared" si="1"/>
        <v>291</v>
      </c>
      <c r="L60" s="27" t="s">
        <v>56</v>
      </c>
      <c r="M60" s="32" t="s">
        <v>238</v>
      </c>
      <c r="N60" s="33"/>
      <c r="O60" s="27" t="s">
        <v>41</v>
      </c>
      <c r="P60" s="27"/>
      <c r="Q60" s="41"/>
      <c r="R60" s="35"/>
      <c r="S60" s="36"/>
      <c r="T60" s="37"/>
      <c r="U60" s="37"/>
      <c r="V60" s="37"/>
      <c r="W60" s="37"/>
      <c r="X60" s="37"/>
      <c r="Y60" s="38"/>
      <c r="Z60" s="37"/>
      <c r="AA60" s="28" t="s">
        <v>104</v>
      </c>
      <c r="AB60" s="37"/>
      <c r="AC60" s="37"/>
    </row>
    <row r="61" ht="32.25" customHeight="1">
      <c r="A61" s="13" t="s">
        <v>244</v>
      </c>
      <c r="B61" s="13" t="s">
        <v>245</v>
      </c>
      <c r="C61" s="13" t="s">
        <v>186</v>
      </c>
      <c r="D61" s="13" t="s">
        <v>35</v>
      </c>
      <c r="E61" s="13" t="s">
        <v>237</v>
      </c>
      <c r="F61" s="14" t="s">
        <v>37</v>
      </c>
      <c r="G61" s="20" t="s">
        <v>49</v>
      </c>
      <c r="H61" s="15">
        <v>45535.0</v>
      </c>
      <c r="I61" s="22"/>
      <c r="J61" s="16">
        <v>46356.0</v>
      </c>
      <c r="K61" s="17">
        <f t="shared" si="1"/>
        <v>821</v>
      </c>
      <c r="L61" s="13" t="s">
        <v>56</v>
      </c>
      <c r="M61" s="32" t="s">
        <v>238</v>
      </c>
      <c r="N61" s="26"/>
      <c r="O61" s="13" t="s">
        <v>41</v>
      </c>
      <c r="P61" s="13"/>
      <c r="Q61" s="18"/>
      <c r="R61" s="21"/>
      <c r="S61" s="22"/>
      <c r="T61" s="23"/>
      <c r="U61" s="23"/>
      <c r="V61" s="23"/>
      <c r="W61" s="23"/>
      <c r="X61" s="23"/>
      <c r="Y61" s="24"/>
      <c r="Z61" s="23"/>
      <c r="AA61" s="14" t="s">
        <v>104</v>
      </c>
      <c r="AB61" s="23"/>
      <c r="AC61" s="23"/>
    </row>
    <row r="62" ht="32.25" customHeight="1">
      <c r="A62" s="27" t="s">
        <v>246</v>
      </c>
      <c r="B62" s="27" t="s">
        <v>243</v>
      </c>
      <c r="C62" s="27" t="s">
        <v>186</v>
      </c>
      <c r="D62" s="27" t="s">
        <v>35</v>
      </c>
      <c r="E62" s="27" t="s">
        <v>237</v>
      </c>
      <c r="F62" s="28" t="s">
        <v>37</v>
      </c>
      <c r="G62" s="27" t="s">
        <v>38</v>
      </c>
      <c r="H62" s="29">
        <v>45535.0</v>
      </c>
      <c r="I62" s="36"/>
      <c r="J62" s="29">
        <v>45748.0</v>
      </c>
      <c r="K62" s="30">
        <f t="shared" si="1"/>
        <v>213</v>
      </c>
      <c r="L62" s="27" t="s">
        <v>40</v>
      </c>
      <c r="M62" s="41"/>
      <c r="N62" s="33"/>
      <c r="O62" s="27"/>
      <c r="P62" s="27" t="s">
        <v>42</v>
      </c>
      <c r="Q62" s="41"/>
      <c r="R62" s="35"/>
      <c r="S62" s="36"/>
      <c r="T62" s="37"/>
      <c r="U62" s="37"/>
      <c r="V62" s="37"/>
      <c r="W62" s="37"/>
      <c r="X62" s="37"/>
      <c r="Y62" s="38"/>
      <c r="Z62" s="37"/>
      <c r="AA62" s="28" t="s">
        <v>104</v>
      </c>
      <c r="AB62" s="37"/>
      <c r="AC62" s="37"/>
    </row>
    <row r="63" ht="21.75" customHeight="1">
      <c r="A63" s="13" t="s">
        <v>247</v>
      </c>
      <c r="B63" s="13" t="s">
        <v>248</v>
      </c>
      <c r="C63" s="13" t="s">
        <v>186</v>
      </c>
      <c r="D63" s="13" t="s">
        <v>35</v>
      </c>
      <c r="E63" s="13" t="s">
        <v>237</v>
      </c>
      <c r="F63" s="14" t="s">
        <v>37</v>
      </c>
      <c r="G63" s="13" t="s">
        <v>38</v>
      </c>
      <c r="H63" s="15">
        <v>45535.0</v>
      </c>
      <c r="I63" s="22"/>
      <c r="J63" s="15">
        <v>45748.0</v>
      </c>
      <c r="K63" s="17">
        <f t="shared" si="1"/>
        <v>213</v>
      </c>
      <c r="L63" s="13" t="s">
        <v>40</v>
      </c>
      <c r="M63" s="18"/>
      <c r="N63" s="26"/>
      <c r="O63" s="13"/>
      <c r="P63" s="13" t="s">
        <v>42</v>
      </c>
      <c r="Q63" s="18"/>
      <c r="R63" s="21"/>
      <c r="S63" s="22"/>
      <c r="T63" s="23"/>
      <c r="U63" s="23"/>
      <c r="V63" s="23"/>
      <c r="W63" s="23"/>
      <c r="X63" s="23"/>
      <c r="Y63" s="24"/>
      <c r="Z63" s="23"/>
      <c r="AA63" s="14" t="s">
        <v>104</v>
      </c>
      <c r="AB63" s="23"/>
      <c r="AC63" s="23"/>
    </row>
    <row r="64" ht="21.75" customHeight="1">
      <c r="A64" s="27" t="s">
        <v>249</v>
      </c>
      <c r="B64" s="27" t="s">
        <v>250</v>
      </c>
      <c r="C64" s="27" t="s">
        <v>186</v>
      </c>
      <c r="D64" s="27" t="s">
        <v>35</v>
      </c>
      <c r="E64" s="27" t="s">
        <v>251</v>
      </c>
      <c r="F64" s="28" t="s">
        <v>37</v>
      </c>
      <c r="G64" s="27" t="s">
        <v>38</v>
      </c>
      <c r="H64" s="29">
        <v>45725.0</v>
      </c>
      <c r="I64" s="36"/>
      <c r="J64" s="29">
        <v>45748.0</v>
      </c>
      <c r="K64" s="30">
        <f t="shared" si="1"/>
        <v>23</v>
      </c>
      <c r="L64" s="27" t="s">
        <v>40</v>
      </c>
      <c r="M64" s="41"/>
      <c r="N64" s="33"/>
      <c r="O64" s="27"/>
      <c r="P64" s="27" t="s">
        <v>42</v>
      </c>
      <c r="Q64" s="41"/>
      <c r="R64" s="35"/>
      <c r="S64" s="36"/>
      <c r="T64" s="37"/>
      <c r="U64" s="37"/>
      <c r="V64" s="37"/>
      <c r="W64" s="37"/>
      <c r="X64" s="37"/>
      <c r="Y64" s="38"/>
      <c r="Z64" s="37"/>
      <c r="AA64" s="28" t="s">
        <v>104</v>
      </c>
      <c r="AB64" s="37"/>
      <c r="AC64" s="37"/>
    </row>
    <row r="65" ht="32.25" customHeight="1">
      <c r="A65" s="13" t="s">
        <v>252</v>
      </c>
      <c r="B65" s="13" t="s">
        <v>253</v>
      </c>
      <c r="C65" s="13" t="s">
        <v>186</v>
      </c>
      <c r="D65" s="13" t="s">
        <v>35</v>
      </c>
      <c r="E65" s="13" t="s">
        <v>237</v>
      </c>
      <c r="F65" s="14" t="s">
        <v>37</v>
      </c>
      <c r="G65" s="13" t="s">
        <v>75</v>
      </c>
      <c r="H65" s="15">
        <v>45698.0</v>
      </c>
      <c r="I65" s="22"/>
      <c r="J65" s="15">
        <v>45734.0</v>
      </c>
      <c r="K65" s="17">
        <f t="shared" si="1"/>
        <v>36</v>
      </c>
      <c r="L65" s="13" t="s">
        <v>56</v>
      </c>
      <c r="M65" s="18"/>
      <c r="N65" s="26"/>
      <c r="O65" s="13" t="s">
        <v>41</v>
      </c>
      <c r="P65" s="13"/>
      <c r="Q65" s="18"/>
      <c r="R65" s="21"/>
      <c r="S65" s="22"/>
      <c r="T65" s="23"/>
      <c r="U65" s="23"/>
      <c r="V65" s="23"/>
      <c r="W65" s="23"/>
      <c r="X65" s="23"/>
      <c r="Y65" s="24"/>
      <c r="Z65" s="23"/>
      <c r="AA65" s="14" t="s">
        <v>104</v>
      </c>
      <c r="AB65" s="23"/>
      <c r="AC65" s="23"/>
    </row>
    <row r="66" ht="32.25" customHeight="1">
      <c r="A66" s="27" t="s">
        <v>254</v>
      </c>
      <c r="B66" s="27" t="s">
        <v>255</v>
      </c>
      <c r="C66" s="27" t="s">
        <v>84</v>
      </c>
      <c r="D66" s="27" t="s">
        <v>35</v>
      </c>
      <c r="E66" s="27" t="s">
        <v>256</v>
      </c>
      <c r="F66" s="37"/>
      <c r="G66" s="27" t="s">
        <v>75</v>
      </c>
      <c r="H66" s="29">
        <v>45355.0</v>
      </c>
      <c r="I66" s="36"/>
      <c r="J66" s="29">
        <v>45715.0</v>
      </c>
      <c r="K66" s="30">
        <f t="shared" si="1"/>
        <v>360</v>
      </c>
      <c r="L66" s="27" t="s">
        <v>40</v>
      </c>
      <c r="M66" s="41"/>
      <c r="N66" s="33"/>
      <c r="O66" s="27" t="s">
        <v>257</v>
      </c>
      <c r="P66" s="27"/>
      <c r="Q66" s="41"/>
      <c r="R66" s="35"/>
      <c r="S66" s="36"/>
      <c r="T66" s="37"/>
      <c r="U66" s="37"/>
      <c r="V66" s="37"/>
      <c r="W66" s="37"/>
      <c r="X66" s="37"/>
      <c r="Y66" s="38"/>
      <c r="Z66" s="37"/>
      <c r="AA66" s="37"/>
      <c r="AB66" s="37"/>
      <c r="AC66" s="37"/>
    </row>
    <row r="67" ht="53.25" customHeight="1">
      <c r="A67" s="13" t="s">
        <v>258</v>
      </c>
      <c r="B67" s="13" t="s">
        <v>259</v>
      </c>
      <c r="C67" s="13" t="s">
        <v>34</v>
      </c>
      <c r="D67" s="13" t="s">
        <v>35</v>
      </c>
      <c r="E67" s="13" t="s">
        <v>260</v>
      </c>
      <c r="F67" s="14" t="s">
        <v>37</v>
      </c>
      <c r="G67" s="13" t="s">
        <v>75</v>
      </c>
      <c r="H67" s="15">
        <v>45661.0</v>
      </c>
      <c r="I67" s="22"/>
      <c r="J67" s="15">
        <v>45744.0</v>
      </c>
      <c r="K67" s="17">
        <f t="shared" si="1"/>
        <v>83</v>
      </c>
      <c r="L67" s="13" t="s">
        <v>40</v>
      </c>
      <c r="M67" s="18"/>
      <c r="N67" s="26"/>
      <c r="O67" s="13" t="s">
        <v>257</v>
      </c>
      <c r="P67" s="13"/>
      <c r="Q67" s="18"/>
      <c r="R67" s="21"/>
      <c r="S67" s="22"/>
      <c r="T67" s="23"/>
      <c r="U67" s="23"/>
      <c r="V67" s="23"/>
      <c r="W67" s="23"/>
      <c r="X67" s="23"/>
      <c r="Y67" s="24"/>
      <c r="Z67" s="23"/>
      <c r="AA67" s="23"/>
      <c r="AB67" s="23"/>
      <c r="AC67" s="23"/>
    </row>
    <row r="68" ht="63.75" customHeight="1">
      <c r="A68" s="27" t="s">
        <v>261</v>
      </c>
      <c r="B68" s="27" t="s">
        <v>262</v>
      </c>
      <c r="C68" s="27" t="s">
        <v>34</v>
      </c>
      <c r="D68" s="27" t="s">
        <v>35</v>
      </c>
      <c r="E68" s="27" t="s">
        <v>263</v>
      </c>
      <c r="F68" s="37"/>
      <c r="G68" s="27" t="s">
        <v>49</v>
      </c>
      <c r="H68" s="29">
        <v>45637.0</v>
      </c>
      <c r="I68" s="36"/>
      <c r="J68" s="29">
        <v>45694.0</v>
      </c>
      <c r="K68" s="30">
        <f t="shared" si="1"/>
        <v>57</v>
      </c>
      <c r="L68" s="27" t="s">
        <v>40</v>
      </c>
      <c r="M68" s="41"/>
      <c r="N68" s="33"/>
      <c r="O68" s="27" t="s">
        <v>257</v>
      </c>
      <c r="P68" s="27"/>
      <c r="Q68" s="41"/>
      <c r="R68" s="35"/>
      <c r="S68" s="36"/>
      <c r="T68" s="37"/>
      <c r="U68" s="37"/>
      <c r="V68" s="37"/>
      <c r="W68" s="37"/>
      <c r="X68" s="37"/>
      <c r="Y68" s="38"/>
      <c r="Z68" s="37"/>
      <c r="AA68" s="37"/>
      <c r="AB68" s="37"/>
      <c r="AC68" s="37"/>
    </row>
    <row r="69" ht="32.25" customHeight="1">
      <c r="A69" s="13" t="s">
        <v>264</v>
      </c>
      <c r="B69" s="13" t="s">
        <v>265</v>
      </c>
      <c r="C69" s="13" t="s">
        <v>34</v>
      </c>
      <c r="D69" s="13" t="s">
        <v>35</v>
      </c>
      <c r="E69" s="13" t="s">
        <v>266</v>
      </c>
      <c r="F69" s="23"/>
      <c r="G69" s="13" t="s">
        <v>75</v>
      </c>
      <c r="H69" s="15">
        <v>45732.0</v>
      </c>
      <c r="I69" s="22"/>
      <c r="J69" s="15">
        <v>45751.0</v>
      </c>
      <c r="K69" s="17">
        <f t="shared" si="1"/>
        <v>19</v>
      </c>
      <c r="L69" s="13" t="s">
        <v>40</v>
      </c>
      <c r="M69" s="18"/>
      <c r="N69" s="26"/>
      <c r="O69" s="13" t="s">
        <v>257</v>
      </c>
      <c r="P69" s="13"/>
      <c r="Q69" s="18"/>
      <c r="R69" s="21"/>
      <c r="S69" s="22"/>
      <c r="T69" s="23"/>
      <c r="U69" s="23"/>
      <c r="V69" s="23"/>
      <c r="W69" s="23"/>
      <c r="X69" s="23"/>
      <c r="Y69" s="24"/>
      <c r="Z69" s="23"/>
      <c r="AA69" s="23"/>
      <c r="AB69" s="23"/>
      <c r="AC69" s="23"/>
    </row>
    <row r="70" ht="21.75" customHeight="1">
      <c r="A70" s="27" t="s">
        <v>267</v>
      </c>
      <c r="B70" s="27" t="s">
        <v>268</v>
      </c>
      <c r="C70" s="27" t="s">
        <v>34</v>
      </c>
      <c r="D70" s="27" t="s">
        <v>35</v>
      </c>
      <c r="E70" s="27" t="s">
        <v>260</v>
      </c>
      <c r="F70" s="37"/>
      <c r="G70" s="27" t="s">
        <v>75</v>
      </c>
      <c r="H70" s="29">
        <v>45571.0</v>
      </c>
      <c r="I70" s="36"/>
      <c r="J70" s="29">
        <v>45716.0</v>
      </c>
      <c r="K70" s="30">
        <f t="shared" si="1"/>
        <v>145</v>
      </c>
      <c r="L70" s="27" t="s">
        <v>40</v>
      </c>
      <c r="M70" s="41"/>
      <c r="N70" s="33"/>
      <c r="O70" s="27" t="s">
        <v>257</v>
      </c>
      <c r="P70" s="27"/>
      <c r="Q70" s="41"/>
      <c r="R70" s="35"/>
      <c r="S70" s="36"/>
      <c r="T70" s="37"/>
      <c r="U70" s="37"/>
      <c r="V70" s="37"/>
      <c r="W70" s="37"/>
      <c r="X70" s="37"/>
      <c r="Y70" s="38"/>
      <c r="Z70" s="37"/>
      <c r="AA70" s="37"/>
      <c r="AB70" s="37"/>
      <c r="AC70" s="37"/>
    </row>
    <row r="71" ht="32.25" customHeight="1">
      <c r="A71" s="13" t="s">
        <v>269</v>
      </c>
      <c r="B71" s="13" t="s">
        <v>270</v>
      </c>
      <c r="C71" s="13" t="s">
        <v>34</v>
      </c>
      <c r="D71" s="13" t="s">
        <v>35</v>
      </c>
      <c r="E71" s="13" t="s">
        <v>271</v>
      </c>
      <c r="F71" s="14" t="s">
        <v>37</v>
      </c>
      <c r="G71" s="13" t="s">
        <v>75</v>
      </c>
      <c r="H71" s="15">
        <v>45427.0</v>
      </c>
      <c r="I71" s="22"/>
      <c r="J71" s="15">
        <v>45659.0</v>
      </c>
      <c r="K71" s="17">
        <f t="shared" si="1"/>
        <v>232</v>
      </c>
      <c r="L71" s="13" t="s">
        <v>40</v>
      </c>
      <c r="M71" s="18"/>
      <c r="N71" s="26"/>
      <c r="O71" s="13" t="s">
        <v>257</v>
      </c>
      <c r="P71" s="13"/>
      <c r="Q71" s="18"/>
      <c r="R71" s="21"/>
      <c r="S71" s="22"/>
      <c r="T71" s="23"/>
      <c r="U71" s="23"/>
      <c r="V71" s="23"/>
      <c r="W71" s="23"/>
      <c r="X71" s="23"/>
      <c r="Y71" s="24"/>
      <c r="Z71" s="23"/>
      <c r="AA71" s="23"/>
      <c r="AB71" s="23"/>
      <c r="AC71" s="23"/>
    </row>
    <row r="72" ht="32.25" customHeight="1">
      <c r="A72" s="27" t="s">
        <v>272</v>
      </c>
      <c r="B72" s="27" t="s">
        <v>273</v>
      </c>
      <c r="C72" s="27" t="s">
        <v>186</v>
      </c>
      <c r="D72" s="27" t="s">
        <v>35</v>
      </c>
      <c r="E72" s="27" t="s">
        <v>274</v>
      </c>
      <c r="F72" s="28" t="s">
        <v>86</v>
      </c>
      <c r="G72" s="27" t="s">
        <v>75</v>
      </c>
      <c r="H72" s="29">
        <v>45392.0</v>
      </c>
      <c r="I72" s="36"/>
      <c r="J72" s="29">
        <v>45683.0</v>
      </c>
      <c r="K72" s="30">
        <f t="shared" si="1"/>
        <v>291</v>
      </c>
      <c r="L72" s="27" t="s">
        <v>56</v>
      </c>
      <c r="M72" s="32" t="s">
        <v>238</v>
      </c>
      <c r="N72" s="33"/>
      <c r="O72" s="27" t="s">
        <v>41</v>
      </c>
      <c r="P72" s="27"/>
      <c r="Q72" s="41"/>
      <c r="R72" s="35"/>
      <c r="S72" s="36"/>
      <c r="T72" s="37"/>
      <c r="U72" s="37"/>
      <c r="V72" s="37"/>
      <c r="W72" s="37"/>
      <c r="X72" s="37"/>
      <c r="Y72" s="38"/>
      <c r="Z72" s="37"/>
      <c r="AA72" s="37"/>
      <c r="AB72" s="37"/>
      <c r="AC72" s="37"/>
    </row>
    <row r="73" ht="21.75" customHeight="1">
      <c r="A73" s="13" t="s">
        <v>275</v>
      </c>
      <c r="B73" s="13" t="s">
        <v>276</v>
      </c>
      <c r="C73" s="13" t="s">
        <v>186</v>
      </c>
      <c r="D73" s="13" t="s">
        <v>35</v>
      </c>
      <c r="E73" s="13" t="s">
        <v>274</v>
      </c>
      <c r="F73" s="14" t="s">
        <v>86</v>
      </c>
      <c r="G73" s="13" t="s">
        <v>75</v>
      </c>
      <c r="H73" s="15">
        <v>45392.0</v>
      </c>
      <c r="I73" s="22"/>
      <c r="J73" s="15">
        <v>45683.0</v>
      </c>
      <c r="K73" s="17">
        <f t="shared" si="1"/>
        <v>291</v>
      </c>
      <c r="L73" s="13" t="s">
        <v>56</v>
      </c>
      <c r="M73" s="32" t="s">
        <v>238</v>
      </c>
      <c r="N73" s="26"/>
      <c r="O73" s="13" t="s">
        <v>41</v>
      </c>
      <c r="P73" s="13"/>
      <c r="Q73" s="18"/>
      <c r="R73" s="21"/>
      <c r="S73" s="22"/>
      <c r="T73" s="23"/>
      <c r="U73" s="23"/>
      <c r="V73" s="23"/>
      <c r="W73" s="23"/>
      <c r="X73" s="23"/>
      <c r="Y73" s="24"/>
      <c r="Z73" s="23"/>
      <c r="AA73" s="23"/>
      <c r="AB73" s="23"/>
      <c r="AC73" s="23"/>
    </row>
    <row r="74" ht="21.75" customHeight="1">
      <c r="A74" s="27" t="s">
        <v>277</v>
      </c>
      <c r="B74" s="27" t="s">
        <v>278</v>
      </c>
      <c r="C74" s="27" t="s">
        <v>186</v>
      </c>
      <c r="D74" s="27" t="s">
        <v>35</v>
      </c>
      <c r="E74" s="27" t="s">
        <v>274</v>
      </c>
      <c r="F74" s="28" t="s">
        <v>86</v>
      </c>
      <c r="G74" s="27" t="s">
        <v>75</v>
      </c>
      <c r="H74" s="29">
        <v>45392.0</v>
      </c>
      <c r="I74" s="36"/>
      <c r="J74" s="29">
        <v>45683.0</v>
      </c>
      <c r="K74" s="30">
        <f t="shared" si="1"/>
        <v>291</v>
      </c>
      <c r="L74" s="27" t="s">
        <v>56</v>
      </c>
      <c r="M74" s="32" t="s">
        <v>238</v>
      </c>
      <c r="N74" s="33"/>
      <c r="O74" s="27" t="s">
        <v>41</v>
      </c>
      <c r="P74" s="27"/>
      <c r="Q74" s="41"/>
      <c r="R74" s="35"/>
      <c r="S74" s="36"/>
      <c r="T74" s="37"/>
      <c r="U74" s="37"/>
      <c r="V74" s="37"/>
      <c r="W74" s="37"/>
      <c r="X74" s="37"/>
      <c r="Y74" s="38"/>
      <c r="Z74" s="37"/>
      <c r="AA74" s="28" t="s">
        <v>104</v>
      </c>
      <c r="AB74" s="28" t="s">
        <v>59</v>
      </c>
      <c r="AC74" s="37"/>
    </row>
    <row r="75" ht="32.25" customHeight="1">
      <c r="A75" s="13" t="s">
        <v>279</v>
      </c>
      <c r="B75" s="13" t="s">
        <v>280</v>
      </c>
      <c r="C75" s="13" t="s">
        <v>186</v>
      </c>
      <c r="D75" s="13" t="s">
        <v>35</v>
      </c>
      <c r="E75" s="13" t="s">
        <v>274</v>
      </c>
      <c r="F75" s="14" t="s">
        <v>86</v>
      </c>
      <c r="G75" s="13" t="s">
        <v>75</v>
      </c>
      <c r="H75" s="15">
        <v>45392.0</v>
      </c>
      <c r="I75" s="22"/>
      <c r="J75" s="15">
        <v>45683.0</v>
      </c>
      <c r="K75" s="17">
        <f t="shared" si="1"/>
        <v>291</v>
      </c>
      <c r="L75" s="13" t="s">
        <v>56</v>
      </c>
      <c r="M75" s="32" t="s">
        <v>238</v>
      </c>
      <c r="N75" s="26"/>
      <c r="O75" s="13" t="s">
        <v>41</v>
      </c>
      <c r="P75" s="13"/>
      <c r="Q75" s="18"/>
      <c r="R75" s="21"/>
      <c r="S75" s="22"/>
      <c r="T75" s="23"/>
      <c r="U75" s="23"/>
      <c r="V75" s="23"/>
      <c r="W75" s="23"/>
      <c r="X75" s="23"/>
      <c r="Y75" s="24"/>
      <c r="Z75" s="23"/>
      <c r="AA75" s="14" t="s">
        <v>104</v>
      </c>
      <c r="AB75" s="14" t="s">
        <v>59</v>
      </c>
      <c r="AC75" s="23"/>
    </row>
    <row r="76" ht="32.25" customHeight="1">
      <c r="A76" s="27" t="s">
        <v>281</v>
      </c>
      <c r="B76" s="27" t="s">
        <v>282</v>
      </c>
      <c r="C76" s="27" t="s">
        <v>186</v>
      </c>
      <c r="D76" s="27" t="s">
        <v>35</v>
      </c>
      <c r="E76" s="27" t="s">
        <v>274</v>
      </c>
      <c r="F76" s="28" t="s">
        <v>86</v>
      </c>
      <c r="G76" s="31" t="s">
        <v>49</v>
      </c>
      <c r="H76" s="29">
        <v>45392.0</v>
      </c>
      <c r="I76" s="36"/>
      <c r="J76" s="29">
        <v>45683.0</v>
      </c>
      <c r="K76" s="30">
        <f t="shared" si="1"/>
        <v>291</v>
      </c>
      <c r="L76" s="27" t="s">
        <v>56</v>
      </c>
      <c r="M76" s="32" t="s">
        <v>238</v>
      </c>
      <c r="N76" s="33"/>
      <c r="O76" s="27" t="s">
        <v>41</v>
      </c>
      <c r="P76" s="27"/>
      <c r="Q76" s="41"/>
      <c r="R76" s="35"/>
      <c r="S76" s="36"/>
      <c r="T76" s="37"/>
      <c r="U76" s="37"/>
      <c r="V76" s="37"/>
      <c r="W76" s="37"/>
      <c r="X76" s="37"/>
      <c r="Y76" s="38"/>
      <c r="Z76" s="37"/>
      <c r="AA76" s="28" t="s">
        <v>104</v>
      </c>
      <c r="AB76" s="28" t="s">
        <v>59</v>
      </c>
      <c r="AC76" s="37"/>
    </row>
    <row r="77" ht="32.25" customHeight="1">
      <c r="A77" s="13" t="s">
        <v>283</v>
      </c>
      <c r="B77" s="13" t="s">
        <v>284</v>
      </c>
      <c r="C77" s="13" t="s">
        <v>186</v>
      </c>
      <c r="D77" s="13" t="s">
        <v>35</v>
      </c>
      <c r="E77" s="13" t="s">
        <v>274</v>
      </c>
      <c r="F77" s="14" t="s">
        <v>86</v>
      </c>
      <c r="G77" s="13" t="s">
        <v>75</v>
      </c>
      <c r="H77" s="15">
        <v>45698.0</v>
      </c>
      <c r="I77" s="22"/>
      <c r="J77" s="15">
        <v>45734.0</v>
      </c>
      <c r="K77" s="17">
        <f t="shared" si="1"/>
        <v>36</v>
      </c>
      <c r="L77" s="13" t="s">
        <v>56</v>
      </c>
      <c r="M77" s="25" t="s">
        <v>285</v>
      </c>
      <c r="N77" s="26"/>
      <c r="O77" s="13" t="s">
        <v>41</v>
      </c>
      <c r="P77" s="13"/>
      <c r="Q77" s="18"/>
      <c r="R77" s="21"/>
      <c r="S77" s="22"/>
      <c r="T77" s="23"/>
      <c r="U77" s="23"/>
      <c r="V77" s="23"/>
      <c r="W77" s="23"/>
      <c r="X77" s="23"/>
      <c r="Y77" s="24"/>
      <c r="Z77" s="23"/>
      <c r="AA77" s="14" t="s">
        <v>286</v>
      </c>
      <c r="AB77" s="14" t="s">
        <v>59</v>
      </c>
      <c r="AC77" s="23"/>
    </row>
    <row r="78" ht="42.75" customHeight="1">
      <c r="A78" s="27" t="s">
        <v>287</v>
      </c>
      <c r="B78" s="27" t="s">
        <v>288</v>
      </c>
      <c r="C78" s="27" t="s">
        <v>186</v>
      </c>
      <c r="D78" s="27" t="s">
        <v>35</v>
      </c>
      <c r="E78" s="27" t="s">
        <v>274</v>
      </c>
      <c r="F78" s="28" t="s">
        <v>86</v>
      </c>
      <c r="G78" s="27" t="s">
        <v>75</v>
      </c>
      <c r="H78" s="29">
        <v>45698.0</v>
      </c>
      <c r="I78" s="36"/>
      <c r="J78" s="29">
        <v>45734.0</v>
      </c>
      <c r="K78" s="30">
        <f t="shared" si="1"/>
        <v>36</v>
      </c>
      <c r="L78" s="27" t="s">
        <v>56</v>
      </c>
      <c r="M78" s="32" t="s">
        <v>285</v>
      </c>
      <c r="N78" s="33"/>
      <c r="O78" s="27" t="s">
        <v>41</v>
      </c>
      <c r="P78" s="27"/>
      <c r="Q78" s="41"/>
      <c r="R78" s="35"/>
      <c r="S78" s="36"/>
      <c r="T78" s="37"/>
      <c r="U78" s="37"/>
      <c r="V78" s="37"/>
      <c r="W78" s="37"/>
      <c r="X78" s="37"/>
      <c r="Y78" s="38"/>
      <c r="Z78" s="37"/>
      <c r="AA78" s="28" t="s">
        <v>286</v>
      </c>
      <c r="AB78" s="28" t="s">
        <v>59</v>
      </c>
      <c r="AC78" s="37"/>
    </row>
    <row r="79" ht="32.25" customHeight="1">
      <c r="A79" s="13" t="s">
        <v>289</v>
      </c>
      <c r="B79" s="13" t="s">
        <v>290</v>
      </c>
      <c r="C79" s="20" t="s">
        <v>186</v>
      </c>
      <c r="D79" s="13" t="s">
        <v>35</v>
      </c>
      <c r="E79" s="13" t="s">
        <v>291</v>
      </c>
      <c r="F79" s="14" t="s">
        <v>86</v>
      </c>
      <c r="G79" s="13" t="s">
        <v>38</v>
      </c>
      <c r="H79" s="15">
        <v>45731.0</v>
      </c>
      <c r="I79" s="22"/>
      <c r="J79" s="15">
        <v>45899.0</v>
      </c>
      <c r="K79" s="17">
        <f t="shared" si="1"/>
        <v>168</v>
      </c>
      <c r="L79" s="13" t="s">
        <v>64</v>
      </c>
      <c r="M79" s="18"/>
      <c r="N79" s="26"/>
      <c r="O79" s="13" t="s">
        <v>41</v>
      </c>
      <c r="P79" s="13"/>
      <c r="Q79" s="18"/>
      <c r="R79" s="21"/>
      <c r="S79" s="22"/>
      <c r="T79" s="23"/>
      <c r="U79" s="23"/>
      <c r="V79" s="23"/>
      <c r="W79" s="23"/>
      <c r="X79" s="23"/>
      <c r="Y79" s="24"/>
      <c r="Z79" s="23"/>
      <c r="AA79" s="23"/>
      <c r="AB79" s="23"/>
      <c r="AC79" s="23"/>
    </row>
    <row r="80" ht="21.75" customHeight="1">
      <c r="A80" s="27" t="s">
        <v>292</v>
      </c>
      <c r="B80" s="27" t="s">
        <v>293</v>
      </c>
      <c r="C80" s="31" t="s">
        <v>186</v>
      </c>
      <c r="D80" s="27" t="s">
        <v>35</v>
      </c>
      <c r="E80" s="27" t="s">
        <v>291</v>
      </c>
      <c r="F80" s="28" t="s">
        <v>86</v>
      </c>
      <c r="G80" s="31" t="s">
        <v>75</v>
      </c>
      <c r="H80" s="29">
        <v>45685.0</v>
      </c>
      <c r="I80" s="36"/>
      <c r="J80" s="29">
        <v>45868.0</v>
      </c>
      <c r="K80" s="30">
        <f t="shared" si="1"/>
        <v>183</v>
      </c>
      <c r="L80" s="27" t="s">
        <v>40</v>
      </c>
      <c r="M80" s="41"/>
      <c r="N80" s="33"/>
      <c r="O80" s="27" t="s">
        <v>41</v>
      </c>
      <c r="P80" s="27"/>
      <c r="Q80" s="41"/>
      <c r="R80" s="35"/>
      <c r="S80" s="36"/>
      <c r="T80" s="37"/>
      <c r="U80" s="37"/>
      <c r="V80" s="37"/>
      <c r="W80" s="37"/>
      <c r="X80" s="37"/>
      <c r="Y80" s="38"/>
      <c r="Z80" s="37"/>
      <c r="AA80" s="37"/>
      <c r="AB80" s="37"/>
      <c r="AC80" s="37"/>
    </row>
    <row r="81" ht="42.75" customHeight="1">
      <c r="A81" s="13" t="s">
        <v>294</v>
      </c>
      <c r="B81" s="13" t="s">
        <v>295</v>
      </c>
      <c r="C81" s="13" t="s">
        <v>84</v>
      </c>
      <c r="D81" s="13" t="s">
        <v>35</v>
      </c>
      <c r="E81" s="13" t="s">
        <v>296</v>
      </c>
      <c r="F81" s="23"/>
      <c r="G81" s="13" t="s">
        <v>49</v>
      </c>
      <c r="H81" s="15">
        <v>45554.0</v>
      </c>
      <c r="I81" s="22"/>
      <c r="J81" s="15">
        <v>45666.0</v>
      </c>
      <c r="K81" s="17">
        <f t="shared" si="1"/>
        <v>112</v>
      </c>
      <c r="L81" s="13" t="s">
        <v>40</v>
      </c>
      <c r="M81" s="18"/>
      <c r="N81" s="26"/>
      <c r="O81" s="13" t="s">
        <v>81</v>
      </c>
      <c r="P81" s="13"/>
      <c r="Q81" s="18"/>
      <c r="R81" s="21"/>
      <c r="S81" s="22"/>
      <c r="T81" s="23"/>
      <c r="U81" s="23"/>
      <c r="V81" s="23"/>
      <c r="W81" s="23"/>
      <c r="X81" s="23"/>
      <c r="Y81" s="24"/>
      <c r="Z81" s="23"/>
      <c r="AA81" s="23"/>
      <c r="AB81" s="23"/>
      <c r="AC81" s="23"/>
    </row>
    <row r="82" ht="42.75" customHeight="1">
      <c r="A82" s="27" t="s">
        <v>297</v>
      </c>
      <c r="B82" s="27" t="s">
        <v>298</v>
      </c>
      <c r="C82" s="27" t="s">
        <v>84</v>
      </c>
      <c r="D82" s="27" t="s">
        <v>35</v>
      </c>
      <c r="E82" s="27" t="s">
        <v>299</v>
      </c>
      <c r="F82" s="37"/>
      <c r="G82" s="27" t="s">
        <v>49</v>
      </c>
      <c r="H82" s="29">
        <v>45485.0</v>
      </c>
      <c r="I82" s="36"/>
      <c r="J82" s="29">
        <v>45732.0</v>
      </c>
      <c r="K82" s="30">
        <f t="shared" si="1"/>
        <v>247</v>
      </c>
      <c r="L82" s="27" t="s">
        <v>40</v>
      </c>
      <c r="M82" s="41"/>
      <c r="N82" s="33"/>
      <c r="O82" s="27" t="s">
        <v>51</v>
      </c>
      <c r="P82" s="27" t="s">
        <v>42</v>
      </c>
      <c r="Q82" s="41"/>
      <c r="R82" s="35"/>
      <c r="S82" s="36"/>
      <c r="T82" s="37"/>
      <c r="U82" s="37"/>
      <c r="V82" s="37"/>
      <c r="W82" s="37"/>
      <c r="X82" s="37"/>
      <c r="Y82" s="38"/>
      <c r="Z82" s="37"/>
      <c r="AA82" s="37"/>
      <c r="AB82" s="37"/>
      <c r="AC82" s="37"/>
    </row>
    <row r="83" ht="32.25" customHeight="1">
      <c r="A83" s="13" t="s">
        <v>300</v>
      </c>
      <c r="B83" s="13" t="s">
        <v>301</v>
      </c>
      <c r="C83" s="13" t="s">
        <v>34</v>
      </c>
      <c r="D83" s="13" t="s">
        <v>35</v>
      </c>
      <c r="E83" s="13" t="s">
        <v>302</v>
      </c>
      <c r="F83" s="23"/>
      <c r="G83" s="13" t="s">
        <v>49</v>
      </c>
      <c r="H83" s="15">
        <v>45664.0</v>
      </c>
      <c r="I83" s="22"/>
      <c r="J83" s="15">
        <v>45716.0</v>
      </c>
      <c r="K83" s="17">
        <f t="shared" si="1"/>
        <v>52</v>
      </c>
      <c r="L83" s="13" t="s">
        <v>40</v>
      </c>
      <c r="M83" s="18"/>
      <c r="N83" s="26"/>
      <c r="O83" s="13" t="s">
        <v>257</v>
      </c>
      <c r="P83" s="13"/>
      <c r="Q83" s="18"/>
      <c r="R83" s="21"/>
      <c r="S83" s="22"/>
      <c r="T83" s="23"/>
      <c r="U83" s="23"/>
      <c r="V83" s="23"/>
      <c r="W83" s="23"/>
      <c r="X83" s="23"/>
      <c r="Y83" s="24"/>
      <c r="Z83" s="23"/>
      <c r="AA83" s="23"/>
      <c r="AB83" s="23"/>
      <c r="AC83" s="23"/>
    </row>
    <row r="84" ht="42.75" customHeight="1">
      <c r="A84" s="27" t="s">
        <v>303</v>
      </c>
      <c r="B84" s="27" t="s">
        <v>304</v>
      </c>
      <c r="C84" s="27" t="s">
        <v>199</v>
      </c>
      <c r="D84" s="27" t="s">
        <v>35</v>
      </c>
      <c r="E84" s="27" t="s">
        <v>305</v>
      </c>
      <c r="F84" s="37"/>
      <c r="G84" s="27" t="s">
        <v>49</v>
      </c>
      <c r="H84" s="29">
        <v>45638.0</v>
      </c>
      <c r="I84" s="36"/>
      <c r="J84" s="29">
        <v>45709.0</v>
      </c>
      <c r="K84" s="30">
        <f t="shared" si="1"/>
        <v>71</v>
      </c>
      <c r="L84" s="27" t="s">
        <v>40</v>
      </c>
      <c r="M84" s="41"/>
      <c r="N84" s="33"/>
      <c r="O84" s="27" t="s">
        <v>81</v>
      </c>
      <c r="P84" s="27" t="s">
        <v>42</v>
      </c>
      <c r="Q84" s="41"/>
      <c r="R84" s="35"/>
      <c r="S84" s="36"/>
      <c r="T84" s="37"/>
      <c r="U84" s="37"/>
      <c r="V84" s="37"/>
      <c r="W84" s="37"/>
      <c r="X84" s="37"/>
      <c r="Y84" s="38"/>
      <c r="Z84" s="37"/>
      <c r="AA84" s="37"/>
      <c r="AB84" s="37"/>
      <c r="AC84" s="37"/>
    </row>
    <row r="85" ht="32.25" customHeight="1">
      <c r="A85" s="13" t="s">
        <v>306</v>
      </c>
      <c r="B85" s="13" t="s">
        <v>307</v>
      </c>
      <c r="C85" s="13" t="s">
        <v>199</v>
      </c>
      <c r="D85" s="13" t="s">
        <v>35</v>
      </c>
      <c r="E85" s="13" t="s">
        <v>308</v>
      </c>
      <c r="F85" s="23"/>
      <c r="G85" s="13" t="s">
        <v>75</v>
      </c>
      <c r="H85" s="15">
        <v>45705.0</v>
      </c>
      <c r="I85" s="22"/>
      <c r="J85" s="15">
        <v>45889.0</v>
      </c>
      <c r="K85" s="17">
        <f t="shared" si="1"/>
        <v>184</v>
      </c>
      <c r="L85" s="13" t="s">
        <v>40</v>
      </c>
      <c r="M85" s="18"/>
      <c r="N85" s="26"/>
      <c r="O85" s="13" t="s">
        <v>41</v>
      </c>
      <c r="P85" s="13"/>
      <c r="Q85" s="18"/>
      <c r="R85" s="21"/>
      <c r="S85" s="22"/>
      <c r="T85" s="23"/>
      <c r="U85" s="23"/>
      <c r="V85" s="23"/>
      <c r="W85" s="23"/>
      <c r="X85" s="23"/>
      <c r="Y85" s="24"/>
      <c r="Z85" s="23"/>
      <c r="AA85" s="23"/>
      <c r="AB85" s="23"/>
      <c r="AC85" s="23"/>
    </row>
    <row r="86" ht="32.25" customHeight="1">
      <c r="A86" s="27" t="s">
        <v>309</v>
      </c>
      <c r="B86" s="27" t="s">
        <v>310</v>
      </c>
      <c r="C86" s="27" t="s">
        <v>34</v>
      </c>
      <c r="D86" s="27" t="s">
        <v>35</v>
      </c>
      <c r="E86" s="27" t="s">
        <v>96</v>
      </c>
      <c r="F86" s="28" t="s">
        <v>97</v>
      </c>
      <c r="G86" s="27" t="s">
        <v>91</v>
      </c>
      <c r="H86" s="29">
        <v>45738.0</v>
      </c>
      <c r="I86" s="36"/>
      <c r="J86" s="29">
        <v>45931.0</v>
      </c>
      <c r="K86" s="30">
        <f t="shared" si="1"/>
        <v>193</v>
      </c>
      <c r="L86" s="27" t="s">
        <v>40</v>
      </c>
      <c r="M86" s="41"/>
      <c r="N86" s="33"/>
      <c r="O86" s="27" t="s">
        <v>41</v>
      </c>
      <c r="P86" s="27"/>
      <c r="Q86" s="41"/>
      <c r="R86" s="35"/>
      <c r="S86" s="36"/>
      <c r="T86" s="37"/>
      <c r="U86" s="37"/>
      <c r="V86" s="37"/>
      <c r="W86" s="37"/>
      <c r="X86" s="37"/>
      <c r="Y86" s="38"/>
      <c r="Z86" s="37"/>
      <c r="AA86" s="37"/>
      <c r="AB86" s="37"/>
      <c r="AC86" s="37"/>
    </row>
    <row r="87" ht="21.75" customHeight="1">
      <c r="A87" s="13" t="s">
        <v>311</v>
      </c>
      <c r="B87" s="13" t="s">
        <v>312</v>
      </c>
      <c r="C87" s="13" t="s">
        <v>218</v>
      </c>
      <c r="D87" s="13" t="s">
        <v>35</v>
      </c>
      <c r="E87" s="13" t="s">
        <v>313</v>
      </c>
      <c r="F87" s="23"/>
      <c r="G87" s="13" t="s">
        <v>91</v>
      </c>
      <c r="H87" s="15">
        <v>45748.0</v>
      </c>
      <c r="I87" s="22"/>
      <c r="J87" s="15">
        <v>45899.0</v>
      </c>
      <c r="K87" s="17">
        <f t="shared" si="1"/>
        <v>151</v>
      </c>
      <c r="L87" s="13" t="s">
        <v>40</v>
      </c>
      <c r="M87" s="18"/>
      <c r="N87" s="26"/>
      <c r="O87" s="13" t="s">
        <v>81</v>
      </c>
      <c r="P87" s="13"/>
      <c r="Q87" s="18"/>
      <c r="R87" s="21"/>
      <c r="S87" s="22"/>
      <c r="T87" s="23"/>
      <c r="U87" s="23"/>
      <c r="V87" s="23"/>
      <c r="W87" s="23"/>
      <c r="X87" s="23"/>
      <c r="Y87" s="24"/>
      <c r="Z87" s="23"/>
      <c r="AA87" s="23"/>
      <c r="AB87" s="23"/>
      <c r="AC87" s="23"/>
    </row>
    <row r="88" ht="32.25" customHeight="1">
      <c r="A88" s="27" t="s">
        <v>314</v>
      </c>
      <c r="B88" s="27" t="s">
        <v>315</v>
      </c>
      <c r="C88" s="27" t="s">
        <v>34</v>
      </c>
      <c r="D88" s="27" t="s">
        <v>35</v>
      </c>
      <c r="E88" s="27" t="s">
        <v>316</v>
      </c>
      <c r="F88" s="37"/>
      <c r="G88" s="27" t="s">
        <v>91</v>
      </c>
      <c r="H88" s="29">
        <v>45740.0</v>
      </c>
      <c r="I88" s="36"/>
      <c r="J88" s="29">
        <v>45869.0</v>
      </c>
      <c r="K88" s="30">
        <f t="shared" si="1"/>
        <v>129</v>
      </c>
      <c r="L88" s="27" t="s">
        <v>64</v>
      </c>
      <c r="M88" s="41"/>
      <c r="N88" s="33"/>
      <c r="O88" s="27" t="s">
        <v>257</v>
      </c>
      <c r="P88" s="27"/>
      <c r="Q88" s="41"/>
      <c r="R88" s="35"/>
      <c r="S88" s="36"/>
      <c r="T88" s="37"/>
      <c r="U88" s="37"/>
      <c r="V88" s="37"/>
      <c r="W88" s="37"/>
      <c r="X88" s="37"/>
      <c r="Y88" s="38"/>
      <c r="Z88" s="37"/>
      <c r="AA88" s="37"/>
      <c r="AB88" s="37"/>
      <c r="AC88" s="37"/>
    </row>
    <row r="89" ht="21.75" customHeight="1">
      <c r="A89" s="13" t="s">
        <v>317</v>
      </c>
      <c r="B89" s="13" t="s">
        <v>318</v>
      </c>
      <c r="C89" s="13" t="s">
        <v>84</v>
      </c>
      <c r="D89" s="13" t="s">
        <v>35</v>
      </c>
      <c r="E89" s="13" t="s">
        <v>319</v>
      </c>
      <c r="F89" s="14" t="s">
        <v>37</v>
      </c>
      <c r="G89" s="13" t="s">
        <v>75</v>
      </c>
      <c r="H89" s="15">
        <v>45682.0</v>
      </c>
      <c r="I89" s="22"/>
      <c r="J89" s="16">
        <v>46112.0</v>
      </c>
      <c r="K89" s="17">
        <f t="shared" si="1"/>
        <v>430</v>
      </c>
      <c r="L89" s="13" t="s">
        <v>40</v>
      </c>
      <c r="M89" s="25" t="s">
        <v>320</v>
      </c>
      <c r="N89" s="26"/>
      <c r="O89" s="13" t="s">
        <v>81</v>
      </c>
      <c r="P89" s="20" t="s">
        <v>59</v>
      </c>
      <c r="Q89" s="18"/>
      <c r="R89" s="21"/>
      <c r="S89" s="22"/>
      <c r="T89" s="23"/>
      <c r="U89" s="23"/>
      <c r="V89" s="23"/>
      <c r="W89" s="23"/>
      <c r="X89" s="23"/>
      <c r="Y89" s="24"/>
      <c r="Z89" s="23"/>
      <c r="AA89" s="23"/>
      <c r="AB89" s="23"/>
      <c r="AC89" s="23"/>
    </row>
    <row r="90" ht="32.25" customHeight="1">
      <c r="A90" s="27" t="s">
        <v>321</v>
      </c>
      <c r="B90" s="27" t="s">
        <v>322</v>
      </c>
      <c r="C90" s="27" t="s">
        <v>84</v>
      </c>
      <c r="D90" s="27" t="s">
        <v>35</v>
      </c>
      <c r="E90" s="27" t="s">
        <v>319</v>
      </c>
      <c r="F90" s="28" t="s">
        <v>37</v>
      </c>
      <c r="G90" s="27" t="s">
        <v>49</v>
      </c>
      <c r="H90" s="29">
        <v>45688.0</v>
      </c>
      <c r="I90" s="36"/>
      <c r="J90" s="29">
        <v>45726.0</v>
      </c>
      <c r="K90" s="30">
        <f t="shared" si="1"/>
        <v>38</v>
      </c>
      <c r="L90" s="27" t="s">
        <v>64</v>
      </c>
      <c r="M90" s="32" t="s">
        <v>323</v>
      </c>
      <c r="N90" s="33"/>
      <c r="O90" s="31" t="s">
        <v>257</v>
      </c>
      <c r="P90" s="27"/>
      <c r="Q90" s="34" t="s">
        <v>324</v>
      </c>
      <c r="R90" s="35"/>
      <c r="S90" s="36"/>
      <c r="T90" s="37"/>
      <c r="U90" s="37"/>
      <c r="V90" s="37"/>
      <c r="W90" s="37"/>
      <c r="X90" s="37"/>
      <c r="Y90" s="38"/>
      <c r="Z90" s="37"/>
      <c r="AA90" s="37"/>
      <c r="AB90" s="37"/>
      <c r="AC90" s="37"/>
    </row>
    <row r="91" ht="21.75" customHeight="1">
      <c r="A91" s="13" t="s">
        <v>325</v>
      </c>
      <c r="B91" s="13" t="s">
        <v>326</v>
      </c>
      <c r="C91" s="13" t="s">
        <v>34</v>
      </c>
      <c r="D91" s="13" t="s">
        <v>35</v>
      </c>
      <c r="E91" s="13" t="s">
        <v>234</v>
      </c>
      <c r="F91" s="23"/>
      <c r="G91" s="13" t="s">
        <v>38</v>
      </c>
      <c r="H91" s="15">
        <v>45712.0</v>
      </c>
      <c r="I91" s="22"/>
      <c r="J91" s="15">
        <v>45930.0</v>
      </c>
      <c r="K91" s="17">
        <f t="shared" si="1"/>
        <v>218</v>
      </c>
      <c r="L91" s="13" t="s">
        <v>40</v>
      </c>
      <c r="M91" s="18"/>
      <c r="N91" s="26"/>
      <c r="O91" s="13" t="s">
        <v>257</v>
      </c>
      <c r="P91" s="13"/>
      <c r="Q91" s="18"/>
      <c r="R91" s="21"/>
      <c r="S91" s="22"/>
      <c r="T91" s="23"/>
      <c r="U91" s="23"/>
      <c r="V91" s="23"/>
      <c r="W91" s="23"/>
      <c r="X91" s="23"/>
      <c r="Y91" s="24"/>
      <c r="Z91" s="23"/>
      <c r="AA91" s="23"/>
      <c r="AB91" s="23"/>
      <c r="AC91" s="23"/>
    </row>
    <row r="92" ht="42.75" customHeight="1">
      <c r="A92" s="27" t="s">
        <v>327</v>
      </c>
      <c r="B92" s="27" t="s">
        <v>328</v>
      </c>
      <c r="C92" s="27" t="s">
        <v>84</v>
      </c>
      <c r="D92" s="27" t="s">
        <v>35</v>
      </c>
      <c r="E92" s="27" t="s">
        <v>319</v>
      </c>
      <c r="F92" s="28" t="s">
        <v>37</v>
      </c>
      <c r="G92" s="27" t="s">
        <v>75</v>
      </c>
      <c r="H92" s="29">
        <v>45672.0</v>
      </c>
      <c r="I92" s="36"/>
      <c r="J92" s="29">
        <v>45689.0</v>
      </c>
      <c r="K92" s="30">
        <f t="shared" si="1"/>
        <v>17</v>
      </c>
      <c r="L92" s="27" t="s">
        <v>64</v>
      </c>
      <c r="M92" s="32" t="s">
        <v>329</v>
      </c>
      <c r="N92" s="33"/>
      <c r="O92" s="31" t="s">
        <v>257</v>
      </c>
      <c r="P92" s="27"/>
      <c r="Q92" s="41"/>
      <c r="R92" s="35"/>
      <c r="S92" s="36"/>
      <c r="T92" s="37"/>
      <c r="U92" s="37"/>
      <c r="V92" s="37"/>
      <c r="W92" s="37"/>
      <c r="X92" s="37"/>
      <c r="Y92" s="38"/>
      <c r="Z92" s="37"/>
      <c r="AA92" s="37"/>
      <c r="AB92" s="37"/>
      <c r="AC92" s="37"/>
    </row>
    <row r="93" ht="32.25" customHeight="1">
      <c r="A93" s="13" t="s">
        <v>330</v>
      </c>
      <c r="B93" s="13" t="s">
        <v>331</v>
      </c>
      <c r="C93" s="13" t="s">
        <v>84</v>
      </c>
      <c r="D93" s="13" t="s">
        <v>35</v>
      </c>
      <c r="E93" s="13" t="s">
        <v>319</v>
      </c>
      <c r="F93" s="14" t="s">
        <v>37</v>
      </c>
      <c r="G93" s="13" t="s">
        <v>49</v>
      </c>
      <c r="H93" s="15">
        <v>45168.0</v>
      </c>
      <c r="I93" s="22"/>
      <c r="J93" s="15">
        <v>45680.0</v>
      </c>
      <c r="K93" s="17">
        <f t="shared" si="1"/>
        <v>512</v>
      </c>
      <c r="L93" s="13" t="s">
        <v>56</v>
      </c>
      <c r="M93" s="25" t="s">
        <v>332</v>
      </c>
      <c r="N93" s="26"/>
      <c r="O93" s="13" t="s">
        <v>81</v>
      </c>
      <c r="P93" s="13"/>
      <c r="Q93" s="40" t="s">
        <v>333</v>
      </c>
      <c r="R93" s="21"/>
      <c r="S93" s="22"/>
      <c r="T93" s="23"/>
      <c r="U93" s="23"/>
      <c r="V93" s="23"/>
      <c r="W93" s="23"/>
      <c r="X93" s="23"/>
      <c r="Y93" s="24"/>
      <c r="Z93" s="23"/>
      <c r="AA93" s="23"/>
      <c r="AB93" s="23"/>
      <c r="AC93" s="23"/>
    </row>
    <row r="94" ht="21.75" customHeight="1">
      <c r="A94" s="27" t="s">
        <v>334</v>
      </c>
      <c r="B94" s="27" t="s">
        <v>335</v>
      </c>
      <c r="C94" s="27" t="s">
        <v>84</v>
      </c>
      <c r="D94" s="27" t="s">
        <v>35</v>
      </c>
      <c r="E94" s="27" t="s">
        <v>319</v>
      </c>
      <c r="F94" s="28" t="s">
        <v>37</v>
      </c>
      <c r="G94" s="27" t="s">
        <v>49</v>
      </c>
      <c r="H94" s="29">
        <v>45505.0</v>
      </c>
      <c r="I94" s="36"/>
      <c r="J94" s="29">
        <v>45667.0</v>
      </c>
      <c r="K94" s="30">
        <f t="shared" si="1"/>
        <v>162</v>
      </c>
      <c r="L94" s="27" t="s">
        <v>56</v>
      </c>
      <c r="M94" s="32" t="s">
        <v>336</v>
      </c>
      <c r="N94" s="33"/>
      <c r="O94" s="27" t="s">
        <v>81</v>
      </c>
      <c r="P94" s="27"/>
      <c r="Q94" s="34" t="s">
        <v>337</v>
      </c>
      <c r="R94" s="35"/>
      <c r="S94" s="36"/>
      <c r="T94" s="37"/>
      <c r="U94" s="37"/>
      <c r="V94" s="37"/>
      <c r="W94" s="37"/>
      <c r="X94" s="37"/>
      <c r="Y94" s="38"/>
      <c r="Z94" s="37"/>
      <c r="AA94" s="37"/>
      <c r="AB94" s="37"/>
      <c r="AC94" s="37"/>
    </row>
    <row r="95" ht="53.25" customHeight="1">
      <c r="A95" s="13" t="s">
        <v>338</v>
      </c>
      <c r="B95" s="20" t="s">
        <v>339</v>
      </c>
      <c r="C95" s="13" t="s">
        <v>84</v>
      </c>
      <c r="D95" s="13" t="s">
        <v>35</v>
      </c>
      <c r="E95" s="13" t="s">
        <v>319</v>
      </c>
      <c r="F95" s="14" t="s">
        <v>37</v>
      </c>
      <c r="G95" s="13" t="s">
        <v>75</v>
      </c>
      <c r="H95" s="15">
        <v>45366.0</v>
      </c>
      <c r="I95" s="22"/>
      <c r="J95" s="15">
        <v>45636.0</v>
      </c>
      <c r="K95" s="17">
        <f t="shared" si="1"/>
        <v>270</v>
      </c>
      <c r="L95" s="13" t="s">
        <v>56</v>
      </c>
      <c r="M95" s="18"/>
      <c r="N95" s="26"/>
      <c r="O95" s="13" t="s">
        <v>81</v>
      </c>
      <c r="P95" s="13"/>
      <c r="Q95" s="18"/>
      <c r="R95" s="21"/>
      <c r="S95" s="22"/>
      <c r="T95" s="23"/>
      <c r="U95" s="23"/>
      <c r="V95" s="23"/>
      <c r="W95" s="23"/>
      <c r="X95" s="23"/>
      <c r="Y95" s="24"/>
      <c r="Z95" s="23"/>
      <c r="AA95" s="23"/>
      <c r="AB95" s="23"/>
      <c r="AC95" s="23"/>
    </row>
    <row r="96" ht="21.75" customHeight="1">
      <c r="A96" s="27" t="s">
        <v>340</v>
      </c>
      <c r="B96" s="27" t="s">
        <v>341</v>
      </c>
      <c r="C96" s="27" t="s">
        <v>84</v>
      </c>
      <c r="D96" s="27" t="s">
        <v>35</v>
      </c>
      <c r="E96" s="27" t="s">
        <v>319</v>
      </c>
      <c r="F96" s="28" t="s">
        <v>37</v>
      </c>
      <c r="G96" s="27" t="s">
        <v>49</v>
      </c>
      <c r="H96" s="29">
        <v>45422.0</v>
      </c>
      <c r="I96" s="36"/>
      <c r="J96" s="29">
        <v>45662.0</v>
      </c>
      <c r="K96" s="30">
        <f t="shared" si="1"/>
        <v>240</v>
      </c>
      <c r="L96" s="27" t="s">
        <v>56</v>
      </c>
      <c r="M96" s="32" t="s">
        <v>342</v>
      </c>
      <c r="N96" s="33"/>
      <c r="O96" s="27" t="s">
        <v>51</v>
      </c>
      <c r="P96" s="27"/>
      <c r="Q96" s="34" t="s">
        <v>343</v>
      </c>
      <c r="R96" s="35"/>
      <c r="S96" s="36"/>
      <c r="T96" s="37"/>
      <c r="U96" s="37"/>
      <c r="V96" s="37"/>
      <c r="W96" s="37"/>
      <c r="X96" s="37"/>
      <c r="Y96" s="38"/>
      <c r="Z96" s="37"/>
      <c r="AA96" s="37"/>
      <c r="AB96" s="37"/>
      <c r="AC96" s="37"/>
    </row>
    <row r="97" ht="32.25" customHeight="1">
      <c r="A97" s="13" t="s">
        <v>344</v>
      </c>
      <c r="B97" s="13" t="s">
        <v>345</v>
      </c>
      <c r="C97" s="13" t="s">
        <v>84</v>
      </c>
      <c r="D97" s="13" t="s">
        <v>35</v>
      </c>
      <c r="E97" s="13" t="s">
        <v>319</v>
      </c>
      <c r="F97" s="14" t="s">
        <v>37</v>
      </c>
      <c r="G97" s="13" t="s">
        <v>38</v>
      </c>
      <c r="H97" s="15">
        <v>45641.0</v>
      </c>
      <c r="I97" s="22"/>
      <c r="J97" s="16">
        <v>46173.0</v>
      </c>
      <c r="K97" s="17">
        <f t="shared" si="1"/>
        <v>532</v>
      </c>
      <c r="L97" s="13" t="s">
        <v>40</v>
      </c>
      <c r="M97" s="18"/>
      <c r="N97" s="26"/>
      <c r="O97" s="13"/>
      <c r="P97" s="13" t="s">
        <v>42</v>
      </c>
      <c r="Q97" s="18"/>
      <c r="R97" s="21"/>
      <c r="S97" s="22"/>
      <c r="T97" s="23"/>
      <c r="U97" s="23"/>
      <c r="V97" s="23"/>
      <c r="W97" s="23"/>
      <c r="X97" s="23"/>
      <c r="Y97" s="24"/>
      <c r="Z97" s="23"/>
      <c r="AA97" s="23"/>
      <c r="AB97" s="23"/>
      <c r="AC97" s="23"/>
    </row>
    <row r="98" ht="32.25" customHeight="1">
      <c r="A98" s="27" t="s">
        <v>346</v>
      </c>
      <c r="B98" s="27" t="s">
        <v>347</v>
      </c>
      <c r="C98" s="27" t="s">
        <v>84</v>
      </c>
      <c r="D98" s="27" t="s">
        <v>35</v>
      </c>
      <c r="E98" s="27" t="s">
        <v>319</v>
      </c>
      <c r="F98" s="28" t="s">
        <v>37</v>
      </c>
      <c r="G98" s="27" t="s">
        <v>38</v>
      </c>
      <c r="H98" s="29">
        <v>45747.0</v>
      </c>
      <c r="I98" s="36"/>
      <c r="J98" s="50">
        <v>46173.0</v>
      </c>
      <c r="K98" s="30">
        <f t="shared" si="1"/>
        <v>426</v>
      </c>
      <c r="L98" s="27" t="s">
        <v>64</v>
      </c>
      <c r="M98" s="41"/>
      <c r="N98" s="33"/>
      <c r="O98" s="27" t="s">
        <v>51</v>
      </c>
      <c r="P98" s="27"/>
      <c r="Q98" s="41"/>
      <c r="R98" s="35"/>
      <c r="S98" s="36"/>
      <c r="T98" s="37"/>
      <c r="U98" s="37"/>
      <c r="V98" s="37"/>
      <c r="W98" s="37"/>
      <c r="X98" s="37"/>
      <c r="Y98" s="38"/>
      <c r="Z98" s="37"/>
      <c r="AA98" s="37"/>
      <c r="AB98" s="37"/>
      <c r="AC98" s="37"/>
    </row>
    <row r="99" ht="32.25" customHeight="1">
      <c r="A99" s="13" t="s">
        <v>348</v>
      </c>
      <c r="B99" s="13" t="s">
        <v>349</v>
      </c>
      <c r="C99" s="13" t="s">
        <v>186</v>
      </c>
      <c r="D99" s="13" t="s">
        <v>35</v>
      </c>
      <c r="E99" s="13" t="s">
        <v>350</v>
      </c>
      <c r="F99" s="23"/>
      <c r="G99" s="13" t="s">
        <v>49</v>
      </c>
      <c r="H99" s="15">
        <v>45657.0</v>
      </c>
      <c r="I99" s="22"/>
      <c r="J99" s="15">
        <v>45752.0</v>
      </c>
      <c r="K99" s="17">
        <f t="shared" si="1"/>
        <v>95</v>
      </c>
      <c r="L99" s="13" t="s">
        <v>40</v>
      </c>
      <c r="M99" s="18"/>
      <c r="N99" s="26"/>
      <c r="O99" s="13" t="s">
        <v>81</v>
      </c>
      <c r="P99" s="13" t="s">
        <v>42</v>
      </c>
      <c r="Q99" s="18"/>
      <c r="R99" s="21"/>
      <c r="S99" s="22"/>
      <c r="T99" s="23"/>
      <c r="U99" s="23"/>
      <c r="V99" s="23"/>
      <c r="W99" s="23"/>
      <c r="X99" s="23"/>
      <c r="Y99" s="24"/>
      <c r="Z99" s="23"/>
      <c r="AA99" s="23"/>
      <c r="AB99" s="23"/>
      <c r="AC99" s="23"/>
    </row>
    <row r="100" ht="32.25" customHeight="1">
      <c r="A100" s="27" t="s">
        <v>351</v>
      </c>
      <c r="B100" s="27" t="s">
        <v>349</v>
      </c>
      <c r="C100" s="27" t="s">
        <v>186</v>
      </c>
      <c r="D100" s="27" t="s">
        <v>35</v>
      </c>
      <c r="E100" s="27" t="s">
        <v>350</v>
      </c>
      <c r="F100" s="37"/>
      <c r="G100" s="27" t="s">
        <v>38</v>
      </c>
      <c r="H100" s="29">
        <v>45657.0</v>
      </c>
      <c r="I100" s="36"/>
      <c r="J100" s="29">
        <v>45838.0</v>
      </c>
      <c r="K100" s="30">
        <f t="shared" si="1"/>
        <v>181</v>
      </c>
      <c r="L100" s="27" t="s">
        <v>40</v>
      </c>
      <c r="M100" s="41"/>
      <c r="N100" s="33"/>
      <c r="O100" s="27" t="s">
        <v>81</v>
      </c>
      <c r="P100" s="27" t="s">
        <v>42</v>
      </c>
      <c r="Q100" s="41"/>
      <c r="R100" s="35"/>
      <c r="S100" s="36"/>
      <c r="T100" s="37"/>
      <c r="U100" s="37"/>
      <c r="V100" s="37"/>
      <c r="W100" s="37"/>
      <c r="X100" s="37"/>
      <c r="Y100" s="38"/>
      <c r="Z100" s="37"/>
      <c r="AA100" s="37"/>
      <c r="AB100" s="37"/>
      <c r="AC100" s="37"/>
    </row>
    <row r="101" ht="32.25" customHeight="1">
      <c r="A101" s="13" t="s">
        <v>352</v>
      </c>
      <c r="B101" s="13" t="s">
        <v>349</v>
      </c>
      <c r="C101" s="13" t="s">
        <v>186</v>
      </c>
      <c r="D101" s="13" t="s">
        <v>35</v>
      </c>
      <c r="E101" s="13" t="s">
        <v>350</v>
      </c>
      <c r="F101" s="23"/>
      <c r="G101" s="13" t="s">
        <v>49</v>
      </c>
      <c r="H101" s="15">
        <v>45559.0</v>
      </c>
      <c r="I101" s="22"/>
      <c r="J101" s="15">
        <v>45868.0</v>
      </c>
      <c r="K101" s="17">
        <f t="shared" si="1"/>
        <v>309</v>
      </c>
      <c r="L101" s="13" t="s">
        <v>40</v>
      </c>
      <c r="M101" s="18"/>
      <c r="N101" s="26"/>
      <c r="O101" s="13" t="s">
        <v>51</v>
      </c>
      <c r="P101" s="13" t="s">
        <v>42</v>
      </c>
      <c r="Q101" s="18"/>
      <c r="R101" s="21"/>
      <c r="S101" s="22"/>
      <c r="T101" s="23"/>
      <c r="U101" s="23"/>
      <c r="V101" s="23"/>
      <c r="W101" s="23"/>
      <c r="X101" s="23"/>
      <c r="Y101" s="24"/>
      <c r="Z101" s="23"/>
      <c r="AA101" s="23"/>
      <c r="AB101" s="23"/>
      <c r="AC101" s="23"/>
    </row>
    <row r="102" ht="53.25" customHeight="1">
      <c r="A102" s="27" t="s">
        <v>353</v>
      </c>
      <c r="B102" s="27" t="s">
        <v>354</v>
      </c>
      <c r="C102" s="27" t="s">
        <v>133</v>
      </c>
      <c r="D102" s="27" t="s">
        <v>35</v>
      </c>
      <c r="E102" s="27" t="s">
        <v>149</v>
      </c>
      <c r="F102" s="37"/>
      <c r="G102" s="27" t="s">
        <v>49</v>
      </c>
      <c r="H102" s="29">
        <v>45586.0</v>
      </c>
      <c r="I102" s="36"/>
      <c r="J102" s="29">
        <v>45659.0</v>
      </c>
      <c r="K102" s="30">
        <f t="shared" si="1"/>
        <v>73</v>
      </c>
      <c r="L102" s="27" t="s">
        <v>40</v>
      </c>
      <c r="M102" s="41"/>
      <c r="N102" s="33"/>
      <c r="O102" s="27" t="s">
        <v>81</v>
      </c>
      <c r="P102" s="27" t="s">
        <v>42</v>
      </c>
      <c r="Q102" s="41"/>
      <c r="R102" s="35"/>
      <c r="S102" s="36"/>
      <c r="T102" s="37"/>
      <c r="U102" s="37"/>
      <c r="V102" s="37"/>
      <c r="W102" s="37"/>
      <c r="X102" s="37"/>
      <c r="Y102" s="38"/>
      <c r="Z102" s="37"/>
      <c r="AA102" s="37"/>
      <c r="AB102" s="37"/>
      <c r="AC102" s="37"/>
    </row>
    <row r="103" ht="32.25" customHeight="1">
      <c r="A103" s="13" t="s">
        <v>355</v>
      </c>
      <c r="B103" s="13" t="s">
        <v>356</v>
      </c>
      <c r="C103" s="13" t="s">
        <v>133</v>
      </c>
      <c r="D103" s="13" t="s">
        <v>35</v>
      </c>
      <c r="E103" s="13" t="s">
        <v>357</v>
      </c>
      <c r="F103" s="23"/>
      <c r="G103" s="13" t="s">
        <v>49</v>
      </c>
      <c r="H103" s="15">
        <v>45573.0</v>
      </c>
      <c r="I103" s="22"/>
      <c r="J103" s="15">
        <v>45750.0</v>
      </c>
      <c r="K103" s="17">
        <f t="shared" si="1"/>
        <v>177</v>
      </c>
      <c r="L103" s="13" t="s">
        <v>40</v>
      </c>
      <c r="M103" s="18"/>
      <c r="N103" s="26"/>
      <c r="O103" s="13" t="s">
        <v>51</v>
      </c>
      <c r="P103" s="13" t="s">
        <v>42</v>
      </c>
      <c r="Q103" s="18"/>
      <c r="R103" s="21"/>
      <c r="S103" s="22"/>
      <c r="T103" s="23"/>
      <c r="U103" s="23"/>
      <c r="V103" s="23"/>
      <c r="W103" s="23"/>
      <c r="X103" s="23"/>
      <c r="Y103" s="24"/>
      <c r="Z103" s="23"/>
      <c r="AA103" s="23"/>
      <c r="AB103" s="23"/>
      <c r="AC103" s="23"/>
    </row>
    <row r="104" ht="32.25" customHeight="1">
      <c r="A104" s="27" t="s">
        <v>358</v>
      </c>
      <c r="B104" s="27" t="s">
        <v>359</v>
      </c>
      <c r="C104" s="27" t="s">
        <v>133</v>
      </c>
      <c r="D104" s="27" t="s">
        <v>35</v>
      </c>
      <c r="E104" s="27" t="s">
        <v>360</v>
      </c>
      <c r="F104" s="37"/>
      <c r="G104" s="27" t="s">
        <v>38</v>
      </c>
      <c r="H104" s="29">
        <v>45721.0</v>
      </c>
      <c r="I104" s="36"/>
      <c r="J104" s="29">
        <v>45771.0</v>
      </c>
      <c r="K104" s="30">
        <f t="shared" si="1"/>
        <v>50</v>
      </c>
      <c r="L104" s="27" t="s">
        <v>40</v>
      </c>
      <c r="M104" s="41"/>
      <c r="N104" s="33"/>
      <c r="O104" s="27" t="s">
        <v>58</v>
      </c>
      <c r="P104" s="27" t="s">
        <v>42</v>
      </c>
      <c r="Q104" s="41"/>
      <c r="R104" s="35"/>
      <c r="S104" s="36"/>
      <c r="T104" s="37"/>
      <c r="U104" s="37"/>
      <c r="V104" s="37"/>
      <c r="W104" s="37"/>
      <c r="X104" s="37"/>
      <c r="Y104" s="38"/>
      <c r="Z104" s="37"/>
      <c r="AA104" s="37"/>
      <c r="AB104" s="37"/>
      <c r="AC104" s="37"/>
    </row>
    <row r="105" ht="32.25" customHeight="1">
      <c r="A105" s="13" t="s">
        <v>361</v>
      </c>
      <c r="B105" s="13" t="s">
        <v>362</v>
      </c>
      <c r="C105" s="13" t="s">
        <v>186</v>
      </c>
      <c r="D105" s="13" t="s">
        <v>35</v>
      </c>
      <c r="E105" s="13" t="s">
        <v>363</v>
      </c>
      <c r="F105" s="23"/>
      <c r="G105" s="20" t="s">
        <v>364</v>
      </c>
      <c r="H105" s="16">
        <v>45788.0</v>
      </c>
      <c r="I105" s="22"/>
      <c r="J105" s="15">
        <v>45869.0</v>
      </c>
      <c r="K105" s="17">
        <f t="shared" si="1"/>
        <v>81</v>
      </c>
      <c r="L105" s="13" t="s">
        <v>40</v>
      </c>
      <c r="M105" s="18"/>
      <c r="N105" s="26"/>
      <c r="O105" s="13" t="s">
        <v>81</v>
      </c>
      <c r="P105" s="13"/>
      <c r="Q105" s="18"/>
      <c r="R105" s="21"/>
      <c r="S105" s="22"/>
      <c r="T105" s="23"/>
      <c r="U105" s="23"/>
      <c r="V105" s="23"/>
      <c r="W105" s="23"/>
      <c r="X105" s="23"/>
      <c r="Y105" s="24"/>
      <c r="Z105" s="23"/>
      <c r="AA105" s="23"/>
      <c r="AB105" s="23"/>
      <c r="AC105" s="23"/>
    </row>
    <row r="106" ht="32.25" customHeight="1">
      <c r="A106" s="27" t="s">
        <v>365</v>
      </c>
      <c r="B106" s="27" t="s">
        <v>366</v>
      </c>
      <c r="C106" s="27" t="s">
        <v>186</v>
      </c>
      <c r="D106" s="27" t="s">
        <v>35</v>
      </c>
      <c r="E106" s="27" t="s">
        <v>367</v>
      </c>
      <c r="F106" s="37"/>
      <c r="G106" s="31" t="s">
        <v>368</v>
      </c>
      <c r="H106" s="31" t="s">
        <v>369</v>
      </c>
      <c r="I106" s="36"/>
      <c r="J106" s="29">
        <v>45838.0</v>
      </c>
      <c r="K106" s="30" t="str">
        <f t="shared" si="1"/>
        <v>#VALUE!</v>
      </c>
      <c r="L106" s="27" t="s">
        <v>64</v>
      </c>
      <c r="M106" s="41"/>
      <c r="N106" s="33"/>
      <c r="O106" s="27" t="s">
        <v>257</v>
      </c>
      <c r="P106" s="27"/>
      <c r="Q106" s="41"/>
      <c r="R106" s="35"/>
      <c r="S106" s="36"/>
      <c r="T106" s="37"/>
      <c r="U106" s="37"/>
      <c r="V106" s="37"/>
      <c r="W106" s="37"/>
      <c r="X106" s="37"/>
      <c r="Y106" s="38"/>
      <c r="Z106" s="37"/>
      <c r="AA106" s="37"/>
      <c r="AB106" s="37"/>
      <c r="AC106" s="37"/>
    </row>
    <row r="107" ht="32.25" customHeight="1">
      <c r="A107" s="13" t="s">
        <v>370</v>
      </c>
      <c r="B107" s="13" t="s">
        <v>371</v>
      </c>
      <c r="C107" s="13" t="s">
        <v>84</v>
      </c>
      <c r="D107" s="13" t="s">
        <v>35</v>
      </c>
      <c r="E107" s="13" t="s">
        <v>372</v>
      </c>
      <c r="F107" s="23"/>
      <c r="G107" s="13" t="s">
        <v>49</v>
      </c>
      <c r="H107" s="15">
        <v>45279.0</v>
      </c>
      <c r="I107" s="22"/>
      <c r="J107" s="15">
        <v>45868.0</v>
      </c>
      <c r="K107" s="17">
        <f t="shared" si="1"/>
        <v>589</v>
      </c>
      <c r="L107" s="13" t="s">
        <v>64</v>
      </c>
      <c r="M107" s="18"/>
      <c r="N107" s="26"/>
      <c r="O107" s="13" t="s">
        <v>81</v>
      </c>
      <c r="P107" s="13"/>
      <c r="Q107" s="18"/>
      <c r="R107" s="21"/>
      <c r="S107" s="22"/>
      <c r="T107" s="23"/>
      <c r="U107" s="23"/>
      <c r="V107" s="23"/>
      <c r="W107" s="23"/>
      <c r="X107" s="23"/>
      <c r="Y107" s="24"/>
      <c r="Z107" s="23"/>
      <c r="AA107" s="23"/>
      <c r="AB107" s="23"/>
      <c r="AC107" s="23"/>
    </row>
    <row r="108" ht="42.75" customHeight="1">
      <c r="A108" s="27" t="s">
        <v>373</v>
      </c>
      <c r="B108" s="27" t="s">
        <v>371</v>
      </c>
      <c r="C108" s="27" t="s">
        <v>84</v>
      </c>
      <c r="D108" s="27" t="s">
        <v>35</v>
      </c>
      <c r="E108" s="27" t="s">
        <v>372</v>
      </c>
      <c r="F108" s="37"/>
      <c r="G108" s="27" t="s">
        <v>49</v>
      </c>
      <c r="H108" s="29">
        <v>45747.0</v>
      </c>
      <c r="I108" s="36"/>
      <c r="J108" s="29">
        <v>45991.0</v>
      </c>
      <c r="K108" s="30">
        <f t="shared" si="1"/>
        <v>244</v>
      </c>
      <c r="L108" s="27" t="s">
        <v>56</v>
      </c>
      <c r="M108" s="41"/>
      <c r="N108" s="33"/>
      <c r="O108" s="27" t="s">
        <v>81</v>
      </c>
      <c r="P108" s="27"/>
      <c r="Q108" s="41"/>
      <c r="R108" s="35"/>
      <c r="S108" s="36"/>
      <c r="T108" s="37"/>
      <c r="U108" s="37"/>
      <c r="V108" s="37"/>
      <c r="W108" s="37"/>
      <c r="X108" s="37"/>
      <c r="Y108" s="38"/>
      <c r="Z108" s="37"/>
      <c r="AA108" s="37"/>
      <c r="AB108" s="37"/>
      <c r="AC108" s="37"/>
    </row>
    <row r="109" ht="42.75" customHeight="1">
      <c r="A109" s="13" t="s">
        <v>374</v>
      </c>
      <c r="B109" s="13" t="s">
        <v>375</v>
      </c>
      <c r="C109" s="13" t="s">
        <v>199</v>
      </c>
      <c r="D109" s="13" t="s">
        <v>35</v>
      </c>
      <c r="E109" s="13" t="s">
        <v>376</v>
      </c>
      <c r="F109" s="23"/>
      <c r="G109" s="13" t="s">
        <v>75</v>
      </c>
      <c r="H109" s="15">
        <v>45656.0</v>
      </c>
      <c r="I109" s="22"/>
      <c r="J109" s="15">
        <v>45673.0</v>
      </c>
      <c r="K109" s="17">
        <f t="shared" si="1"/>
        <v>17</v>
      </c>
      <c r="L109" s="13" t="s">
        <v>56</v>
      </c>
      <c r="M109" s="18"/>
      <c r="N109" s="26"/>
      <c r="O109" s="13" t="s">
        <v>58</v>
      </c>
      <c r="P109" s="13"/>
      <c r="Q109" s="18"/>
      <c r="R109" s="21"/>
      <c r="S109" s="22"/>
      <c r="T109" s="23"/>
      <c r="U109" s="23"/>
      <c r="V109" s="23"/>
      <c r="W109" s="23"/>
      <c r="X109" s="23"/>
      <c r="Y109" s="24"/>
      <c r="Z109" s="23"/>
      <c r="AA109" s="23"/>
      <c r="AB109" s="23"/>
      <c r="AC109" s="23"/>
    </row>
    <row r="110" ht="32.25" customHeight="1">
      <c r="A110" s="27" t="s">
        <v>377</v>
      </c>
      <c r="B110" s="27" t="s">
        <v>378</v>
      </c>
      <c r="C110" s="27" t="s">
        <v>84</v>
      </c>
      <c r="D110" s="27" t="s">
        <v>35</v>
      </c>
      <c r="E110" s="27" t="s">
        <v>379</v>
      </c>
      <c r="F110" s="37"/>
      <c r="G110" s="27" t="s">
        <v>38</v>
      </c>
      <c r="H110" s="29">
        <v>45750.0</v>
      </c>
      <c r="I110" s="36"/>
      <c r="J110" s="29">
        <v>45870.0</v>
      </c>
      <c r="K110" s="30">
        <f t="shared" si="1"/>
        <v>120</v>
      </c>
      <c r="L110" s="27" t="s">
        <v>40</v>
      </c>
      <c r="M110" s="41"/>
      <c r="N110" s="33"/>
      <c r="O110" s="27" t="s">
        <v>81</v>
      </c>
      <c r="P110" s="27"/>
      <c r="Q110" s="41"/>
      <c r="R110" s="35"/>
      <c r="S110" s="36"/>
      <c r="T110" s="37"/>
      <c r="U110" s="37"/>
      <c r="V110" s="37"/>
      <c r="W110" s="37"/>
      <c r="X110" s="37"/>
      <c r="Y110" s="38"/>
      <c r="Z110" s="37"/>
      <c r="AA110" s="37"/>
      <c r="AB110" s="37"/>
      <c r="AC110" s="37"/>
    </row>
    <row r="111" ht="21.75" customHeight="1">
      <c r="A111" s="13" t="s">
        <v>380</v>
      </c>
      <c r="B111" s="13" t="s">
        <v>381</v>
      </c>
      <c r="C111" s="13" t="s">
        <v>84</v>
      </c>
      <c r="D111" s="13" t="s">
        <v>35</v>
      </c>
      <c r="E111" s="13" t="s">
        <v>379</v>
      </c>
      <c r="F111" s="23"/>
      <c r="G111" s="20" t="s">
        <v>163</v>
      </c>
      <c r="H111" s="15">
        <v>45686.0</v>
      </c>
      <c r="I111" s="22"/>
      <c r="J111" s="15">
        <v>45870.0</v>
      </c>
      <c r="K111" s="17">
        <f t="shared" si="1"/>
        <v>184</v>
      </c>
      <c r="L111" s="13" t="s">
        <v>40</v>
      </c>
      <c r="M111" s="18"/>
      <c r="N111" s="26"/>
      <c r="O111" s="13" t="s">
        <v>51</v>
      </c>
      <c r="P111" s="13"/>
      <c r="Q111" s="18"/>
      <c r="R111" s="21"/>
      <c r="S111" s="22"/>
      <c r="T111" s="23"/>
      <c r="U111" s="23"/>
      <c r="V111" s="23"/>
      <c r="W111" s="23"/>
      <c r="X111" s="23"/>
      <c r="Y111" s="24"/>
      <c r="Z111" s="23"/>
      <c r="AA111" s="23"/>
      <c r="AB111" s="23"/>
      <c r="AC111" s="23"/>
    </row>
    <row r="112" ht="53.25" customHeight="1">
      <c r="A112" s="27" t="s">
        <v>382</v>
      </c>
      <c r="B112" s="27" t="s">
        <v>383</v>
      </c>
      <c r="C112" s="27" t="s">
        <v>133</v>
      </c>
      <c r="D112" s="27" t="s">
        <v>35</v>
      </c>
      <c r="E112" s="27" t="s">
        <v>384</v>
      </c>
      <c r="F112" s="37"/>
      <c r="G112" s="27" t="s">
        <v>75</v>
      </c>
      <c r="H112" s="29">
        <v>45693.0</v>
      </c>
      <c r="I112" s="36"/>
      <c r="J112" s="29">
        <v>45803.0</v>
      </c>
      <c r="K112" s="30">
        <f t="shared" si="1"/>
        <v>110</v>
      </c>
      <c r="L112" s="27" t="s">
        <v>40</v>
      </c>
      <c r="M112" s="41"/>
      <c r="N112" s="33"/>
      <c r="O112" s="27" t="s">
        <v>81</v>
      </c>
      <c r="P112" s="27" t="s">
        <v>42</v>
      </c>
      <c r="Q112" s="41"/>
      <c r="R112" s="35"/>
      <c r="S112" s="36"/>
      <c r="T112" s="37"/>
      <c r="U112" s="37"/>
      <c r="V112" s="37"/>
      <c r="W112" s="37"/>
      <c r="X112" s="37"/>
      <c r="Y112" s="38"/>
      <c r="Z112" s="37"/>
      <c r="AA112" s="37"/>
      <c r="AB112" s="37"/>
      <c r="AC112" s="37"/>
    </row>
    <row r="113" ht="42.75" customHeight="1">
      <c r="A113" s="13" t="s">
        <v>385</v>
      </c>
      <c r="B113" s="20" t="s">
        <v>386</v>
      </c>
      <c r="C113" s="20" t="s">
        <v>387</v>
      </c>
      <c r="D113" s="13" t="s">
        <v>35</v>
      </c>
      <c r="E113" s="13" t="s">
        <v>388</v>
      </c>
      <c r="F113" s="14" t="s">
        <v>37</v>
      </c>
      <c r="G113" s="13" t="s">
        <v>49</v>
      </c>
      <c r="H113" s="15"/>
      <c r="I113" s="22"/>
      <c r="J113" s="15">
        <v>45692.0</v>
      </c>
      <c r="K113" s="17" t="str">
        <f t="shared" si="1"/>
        <v/>
      </c>
      <c r="L113" s="13" t="s">
        <v>40</v>
      </c>
      <c r="M113" s="25" t="s">
        <v>389</v>
      </c>
      <c r="N113" s="19">
        <v>6.3</v>
      </c>
      <c r="O113" s="13" t="s">
        <v>51</v>
      </c>
      <c r="P113" s="20" t="s">
        <v>42</v>
      </c>
      <c r="Q113" s="51" t="s">
        <v>390</v>
      </c>
      <c r="R113" s="46">
        <v>3.0</v>
      </c>
      <c r="S113" s="22"/>
      <c r="T113" s="23"/>
      <c r="U113" s="23"/>
      <c r="V113" s="23"/>
      <c r="W113" s="23"/>
      <c r="X113" s="23"/>
      <c r="Y113" s="24"/>
      <c r="Z113" s="23"/>
      <c r="AA113" s="23"/>
      <c r="AB113" s="23"/>
      <c r="AC113" s="23"/>
    </row>
    <row r="114" ht="42.75" customHeight="1">
      <c r="A114" s="31" t="s">
        <v>391</v>
      </c>
      <c r="B114" s="31" t="s">
        <v>392</v>
      </c>
      <c r="C114" s="31" t="s">
        <v>387</v>
      </c>
      <c r="D114" s="27" t="s">
        <v>35</v>
      </c>
      <c r="E114" s="27" t="s">
        <v>393</v>
      </c>
      <c r="F114" s="28" t="s">
        <v>37</v>
      </c>
      <c r="G114" s="27" t="s">
        <v>49</v>
      </c>
      <c r="H114" s="29"/>
      <c r="I114" s="36"/>
      <c r="J114" s="29">
        <v>45729.0</v>
      </c>
      <c r="K114" s="30" t="str">
        <f t="shared" si="1"/>
        <v/>
      </c>
      <c r="L114" s="27" t="s">
        <v>40</v>
      </c>
      <c r="M114" s="32" t="s">
        <v>394</v>
      </c>
      <c r="N114" s="42">
        <v>4.6</v>
      </c>
      <c r="O114" s="27" t="s">
        <v>51</v>
      </c>
      <c r="P114" s="31" t="s">
        <v>42</v>
      </c>
      <c r="Q114" s="34" t="s">
        <v>395</v>
      </c>
      <c r="R114" s="43">
        <v>3.0</v>
      </c>
      <c r="S114" s="36"/>
      <c r="T114" s="37"/>
      <c r="U114" s="37"/>
      <c r="V114" s="37"/>
      <c r="W114" s="37"/>
      <c r="X114" s="37"/>
      <c r="Y114" s="38"/>
      <c r="Z114" s="37"/>
      <c r="AA114" s="37"/>
      <c r="AB114" s="37"/>
      <c r="AC114" s="37"/>
    </row>
    <row r="115" ht="21.75" customHeight="1">
      <c r="A115" s="13" t="s">
        <v>396</v>
      </c>
      <c r="B115" s="13" t="s">
        <v>397</v>
      </c>
      <c r="C115" s="13" t="s">
        <v>84</v>
      </c>
      <c r="D115" s="13" t="s">
        <v>35</v>
      </c>
      <c r="E115" s="13" t="s">
        <v>398</v>
      </c>
      <c r="F115" s="23"/>
      <c r="G115" s="13" t="s">
        <v>399</v>
      </c>
      <c r="H115" s="15">
        <v>45483.0</v>
      </c>
      <c r="I115" s="22"/>
      <c r="J115" s="15">
        <v>45848.0</v>
      </c>
      <c r="K115" s="17">
        <f t="shared" si="1"/>
        <v>365</v>
      </c>
      <c r="L115" s="13" t="s">
        <v>40</v>
      </c>
      <c r="M115" s="18"/>
      <c r="N115" s="26"/>
      <c r="O115" s="13" t="s">
        <v>257</v>
      </c>
      <c r="P115" s="13"/>
      <c r="Q115" s="18"/>
      <c r="R115" s="21"/>
      <c r="S115" s="22"/>
      <c r="T115" s="23"/>
      <c r="U115" s="23"/>
      <c r="V115" s="23"/>
      <c r="W115" s="23"/>
      <c r="X115" s="23"/>
      <c r="Y115" s="24"/>
      <c r="Z115" s="23"/>
      <c r="AA115" s="23"/>
      <c r="AB115" s="23"/>
      <c r="AC115" s="23"/>
    </row>
    <row r="116" ht="21.75" customHeight="1">
      <c r="A116" s="27" t="s">
        <v>400</v>
      </c>
      <c r="B116" s="27" t="s">
        <v>401</v>
      </c>
      <c r="C116" s="27" t="s">
        <v>84</v>
      </c>
      <c r="D116" s="27" t="s">
        <v>35</v>
      </c>
      <c r="E116" s="27" t="s">
        <v>402</v>
      </c>
      <c r="F116" s="37"/>
      <c r="G116" s="27" t="s">
        <v>399</v>
      </c>
      <c r="H116" s="50">
        <v>46113.0</v>
      </c>
      <c r="I116" s="36"/>
      <c r="J116" s="29"/>
      <c r="K116" s="30" t="str">
        <f t="shared" si="1"/>
        <v/>
      </c>
      <c r="L116" s="27" t="s">
        <v>40</v>
      </c>
      <c r="M116" s="41"/>
      <c r="N116" s="33"/>
      <c r="O116" s="27" t="s">
        <v>257</v>
      </c>
      <c r="P116" s="27"/>
      <c r="Q116" s="41"/>
      <c r="R116" s="35"/>
      <c r="S116" s="36"/>
      <c r="T116" s="37"/>
      <c r="U116" s="37"/>
      <c r="V116" s="37"/>
      <c r="W116" s="37"/>
      <c r="X116" s="37"/>
      <c r="Y116" s="38"/>
      <c r="Z116" s="37"/>
      <c r="AA116" s="37"/>
      <c r="AB116" s="37"/>
      <c r="AC116" s="37"/>
    </row>
    <row r="117" ht="21.75" customHeight="1">
      <c r="A117" s="27" t="s">
        <v>403</v>
      </c>
      <c r="B117" s="27" t="s">
        <v>404</v>
      </c>
      <c r="C117" s="27" t="s">
        <v>84</v>
      </c>
      <c r="D117" s="27" t="s">
        <v>35</v>
      </c>
      <c r="E117" s="27" t="s">
        <v>405</v>
      </c>
      <c r="F117" s="37"/>
      <c r="G117" s="27" t="s">
        <v>75</v>
      </c>
      <c r="H117" s="29">
        <v>45635.0</v>
      </c>
      <c r="I117" s="36"/>
      <c r="J117" s="29">
        <v>45696.0</v>
      </c>
      <c r="K117" s="30">
        <f t="shared" si="1"/>
        <v>61</v>
      </c>
      <c r="L117" s="27" t="s">
        <v>64</v>
      </c>
      <c r="M117" s="41"/>
      <c r="N117" s="33"/>
      <c r="O117" s="27" t="s">
        <v>58</v>
      </c>
      <c r="P117" s="27"/>
      <c r="Q117" s="41"/>
      <c r="R117" s="35"/>
      <c r="S117" s="36"/>
      <c r="T117" s="37"/>
      <c r="U117" s="37"/>
      <c r="V117" s="37"/>
      <c r="W117" s="37"/>
      <c r="X117" s="37"/>
      <c r="Y117" s="38"/>
      <c r="Z117" s="37"/>
      <c r="AA117" s="37"/>
      <c r="AB117" s="37"/>
      <c r="AC117" s="37"/>
    </row>
    <row r="118" ht="32.25" customHeight="1">
      <c r="A118" s="13" t="s">
        <v>406</v>
      </c>
      <c r="B118" s="13" t="s">
        <v>407</v>
      </c>
      <c r="C118" s="13" t="s">
        <v>408</v>
      </c>
      <c r="D118" s="13" t="s">
        <v>409</v>
      </c>
      <c r="E118" s="13" t="s">
        <v>410</v>
      </c>
      <c r="F118" s="23"/>
      <c r="G118" s="13" t="s">
        <v>49</v>
      </c>
      <c r="H118" s="15">
        <v>45512.0</v>
      </c>
      <c r="I118" s="22"/>
      <c r="J118" s="15">
        <v>45692.0</v>
      </c>
      <c r="K118" s="17">
        <f t="shared" si="1"/>
        <v>180</v>
      </c>
      <c r="L118" s="13" t="s">
        <v>40</v>
      </c>
      <c r="M118" s="18"/>
      <c r="N118" s="26"/>
      <c r="O118" s="13" t="s">
        <v>41</v>
      </c>
      <c r="P118" s="13"/>
      <c r="Q118" s="18"/>
      <c r="R118" s="21"/>
      <c r="S118" s="22"/>
      <c r="T118" s="23"/>
      <c r="U118" s="23"/>
      <c r="V118" s="23"/>
      <c r="W118" s="23"/>
      <c r="X118" s="23"/>
      <c r="Y118" s="24"/>
      <c r="Z118" s="23"/>
      <c r="AA118" s="23"/>
      <c r="AB118" s="23"/>
      <c r="AC118" s="23"/>
    </row>
    <row r="119" ht="21.75" customHeight="1">
      <c r="A119" s="27" t="s">
        <v>411</v>
      </c>
      <c r="B119" s="27" t="s">
        <v>412</v>
      </c>
      <c r="C119" s="31" t="s">
        <v>408</v>
      </c>
      <c r="D119" s="27" t="s">
        <v>409</v>
      </c>
      <c r="E119" s="27" t="s">
        <v>413</v>
      </c>
      <c r="F119" s="37"/>
      <c r="G119" s="27" t="s">
        <v>91</v>
      </c>
      <c r="H119" s="29">
        <v>45678.0</v>
      </c>
      <c r="I119" s="36"/>
      <c r="J119" s="29">
        <v>45809.0</v>
      </c>
      <c r="K119" s="30">
        <f t="shared" si="1"/>
        <v>131</v>
      </c>
      <c r="L119" s="27" t="s">
        <v>40</v>
      </c>
      <c r="M119" s="41"/>
      <c r="N119" s="33"/>
      <c r="O119" s="27" t="s">
        <v>51</v>
      </c>
      <c r="P119" s="27"/>
      <c r="Q119" s="41"/>
      <c r="R119" s="35"/>
      <c r="S119" s="36"/>
      <c r="T119" s="37"/>
      <c r="U119" s="37"/>
      <c r="V119" s="37"/>
      <c r="W119" s="37"/>
      <c r="X119" s="37"/>
      <c r="Y119" s="38"/>
      <c r="Z119" s="37"/>
      <c r="AA119" s="37"/>
      <c r="AB119" s="37"/>
      <c r="AC119" s="37"/>
    </row>
    <row r="120" ht="21.75" customHeight="1">
      <c r="A120" s="13" t="s">
        <v>414</v>
      </c>
      <c r="B120" s="13" t="s">
        <v>415</v>
      </c>
      <c r="C120" s="13" t="s">
        <v>416</v>
      </c>
      <c r="D120" s="13" t="s">
        <v>409</v>
      </c>
      <c r="E120" s="13" t="s">
        <v>417</v>
      </c>
      <c r="F120" s="14" t="s">
        <v>37</v>
      </c>
      <c r="G120" s="13" t="s">
        <v>38</v>
      </c>
      <c r="H120" s="15">
        <v>45641.0</v>
      </c>
      <c r="I120" s="22"/>
      <c r="J120" s="15">
        <v>45960.0</v>
      </c>
      <c r="K120" s="17">
        <f t="shared" si="1"/>
        <v>319</v>
      </c>
      <c r="L120" s="13" t="s">
        <v>40</v>
      </c>
      <c r="M120" s="18"/>
      <c r="N120" s="26"/>
      <c r="O120" s="13" t="s">
        <v>81</v>
      </c>
      <c r="P120" s="13"/>
      <c r="Q120" s="18"/>
      <c r="R120" s="21"/>
      <c r="S120" s="22"/>
      <c r="T120" s="23"/>
      <c r="U120" s="23"/>
      <c r="V120" s="23"/>
      <c r="W120" s="23"/>
      <c r="X120" s="23"/>
      <c r="Y120" s="24"/>
      <c r="Z120" s="23"/>
      <c r="AA120" s="23"/>
      <c r="AB120" s="23"/>
      <c r="AC120" s="23"/>
    </row>
    <row r="121" ht="21.75" customHeight="1">
      <c r="A121" s="27" t="s">
        <v>418</v>
      </c>
      <c r="B121" s="27" t="s">
        <v>419</v>
      </c>
      <c r="C121" s="27" t="s">
        <v>416</v>
      </c>
      <c r="D121" s="27" t="s">
        <v>409</v>
      </c>
      <c r="E121" s="27" t="s">
        <v>417</v>
      </c>
      <c r="F121" s="28" t="s">
        <v>37</v>
      </c>
      <c r="G121" s="27" t="s">
        <v>38</v>
      </c>
      <c r="H121" s="29">
        <v>45669.0</v>
      </c>
      <c r="I121" s="36"/>
      <c r="J121" s="29">
        <v>45991.0</v>
      </c>
      <c r="K121" s="30">
        <f t="shared" si="1"/>
        <v>322</v>
      </c>
      <c r="L121" s="27" t="s">
        <v>40</v>
      </c>
      <c r="M121" s="41"/>
      <c r="N121" s="33"/>
      <c r="O121" s="27" t="s">
        <v>81</v>
      </c>
      <c r="P121" s="27"/>
      <c r="Q121" s="41"/>
      <c r="R121" s="35"/>
      <c r="S121" s="36"/>
      <c r="T121" s="37"/>
      <c r="U121" s="37"/>
      <c r="V121" s="37"/>
      <c r="W121" s="37"/>
      <c r="X121" s="37"/>
      <c r="Y121" s="38"/>
      <c r="Z121" s="37"/>
      <c r="AA121" s="37"/>
      <c r="AB121" s="37"/>
      <c r="AC121" s="37"/>
    </row>
    <row r="122" ht="32.25" customHeight="1">
      <c r="A122" s="13" t="s">
        <v>420</v>
      </c>
      <c r="B122" s="13" t="s">
        <v>421</v>
      </c>
      <c r="C122" s="13" t="s">
        <v>84</v>
      </c>
      <c r="D122" s="13" t="s">
        <v>409</v>
      </c>
      <c r="E122" s="13" t="s">
        <v>422</v>
      </c>
      <c r="F122" s="23"/>
      <c r="G122" s="13" t="s">
        <v>49</v>
      </c>
      <c r="H122" s="15">
        <v>45615.0</v>
      </c>
      <c r="I122" s="22"/>
      <c r="J122" s="15">
        <v>45680.0</v>
      </c>
      <c r="K122" s="17">
        <f t="shared" si="1"/>
        <v>65</v>
      </c>
      <c r="L122" s="13" t="s">
        <v>64</v>
      </c>
      <c r="M122" s="18"/>
      <c r="N122" s="26"/>
      <c r="O122" s="13" t="s">
        <v>41</v>
      </c>
      <c r="P122" s="13" t="s">
        <v>42</v>
      </c>
      <c r="Q122" s="18"/>
      <c r="R122" s="21"/>
      <c r="S122" s="22"/>
      <c r="T122" s="23"/>
      <c r="U122" s="23"/>
      <c r="V122" s="23"/>
      <c r="W122" s="23"/>
      <c r="X122" s="23"/>
      <c r="Y122" s="24"/>
      <c r="Z122" s="23"/>
      <c r="AA122" s="23"/>
      <c r="AB122" s="23"/>
      <c r="AC122" s="23"/>
    </row>
    <row r="123" ht="32.25" customHeight="1">
      <c r="A123" s="27" t="s">
        <v>423</v>
      </c>
      <c r="B123" s="31" t="s">
        <v>424</v>
      </c>
      <c r="C123" s="27" t="s">
        <v>416</v>
      </c>
      <c r="D123" s="27" t="s">
        <v>409</v>
      </c>
      <c r="E123" s="27" t="s">
        <v>425</v>
      </c>
      <c r="F123" s="37"/>
      <c r="G123" s="27" t="s">
        <v>75</v>
      </c>
      <c r="H123" s="29">
        <v>45567.0</v>
      </c>
      <c r="I123" s="36"/>
      <c r="J123" s="29">
        <v>45747.0</v>
      </c>
      <c r="K123" s="30">
        <f t="shared" si="1"/>
        <v>180</v>
      </c>
      <c r="L123" s="27" t="s">
        <v>40</v>
      </c>
      <c r="M123" s="41"/>
      <c r="N123" s="33"/>
      <c r="O123" s="27" t="s">
        <v>41</v>
      </c>
      <c r="P123" s="27"/>
      <c r="Q123" s="41"/>
      <c r="R123" s="35"/>
      <c r="S123" s="36"/>
      <c r="T123" s="37"/>
      <c r="U123" s="37"/>
      <c r="V123" s="37"/>
      <c r="W123" s="37"/>
      <c r="X123" s="37"/>
      <c r="Y123" s="38"/>
      <c r="Z123" s="37"/>
      <c r="AA123" s="37"/>
      <c r="AB123" s="37"/>
      <c r="AC123" s="37"/>
    </row>
    <row r="124" ht="32.25" customHeight="1">
      <c r="A124" s="13" t="s">
        <v>426</v>
      </c>
      <c r="B124" s="13" t="s">
        <v>427</v>
      </c>
      <c r="C124" s="13" t="s">
        <v>84</v>
      </c>
      <c r="D124" s="13" t="s">
        <v>35</v>
      </c>
      <c r="E124" s="13" t="s">
        <v>428</v>
      </c>
      <c r="F124" s="23"/>
      <c r="G124" s="13" t="s">
        <v>49</v>
      </c>
      <c r="H124" s="15">
        <v>45568.0</v>
      </c>
      <c r="I124" s="22"/>
      <c r="J124" s="15">
        <v>45680.0</v>
      </c>
      <c r="K124" s="17">
        <f t="shared" si="1"/>
        <v>112</v>
      </c>
      <c r="L124" s="13" t="s">
        <v>64</v>
      </c>
      <c r="M124" s="18"/>
      <c r="N124" s="26"/>
      <c r="O124" s="13" t="s">
        <v>41</v>
      </c>
      <c r="P124" s="13"/>
      <c r="Q124" s="18"/>
      <c r="R124" s="21"/>
      <c r="S124" s="22"/>
      <c r="T124" s="23"/>
      <c r="U124" s="23"/>
      <c r="V124" s="23"/>
      <c r="W124" s="23"/>
      <c r="X124" s="23"/>
      <c r="Y124" s="24"/>
      <c r="Z124" s="23"/>
      <c r="AA124" s="23"/>
      <c r="AB124" s="23"/>
      <c r="AC124" s="23"/>
    </row>
    <row r="125" ht="32.25" customHeight="1">
      <c r="A125" s="27" t="s">
        <v>429</v>
      </c>
      <c r="B125" s="27" t="s">
        <v>430</v>
      </c>
      <c r="C125" s="27" t="s">
        <v>416</v>
      </c>
      <c r="D125" s="27" t="s">
        <v>409</v>
      </c>
      <c r="E125" s="27" t="s">
        <v>431</v>
      </c>
      <c r="F125" s="37"/>
      <c r="G125" s="27" t="s">
        <v>91</v>
      </c>
      <c r="H125" s="29">
        <v>45569.0</v>
      </c>
      <c r="I125" s="36"/>
      <c r="J125" s="29">
        <v>45777.0</v>
      </c>
      <c r="K125" s="30">
        <f t="shared" si="1"/>
        <v>208</v>
      </c>
      <c r="L125" s="27" t="s">
        <v>40</v>
      </c>
      <c r="M125" s="41"/>
      <c r="N125" s="33"/>
      <c r="O125" s="27"/>
      <c r="P125" s="27" t="s">
        <v>42</v>
      </c>
      <c r="Q125" s="41"/>
      <c r="R125" s="35"/>
      <c r="S125" s="36"/>
      <c r="T125" s="37"/>
      <c r="U125" s="37"/>
      <c r="V125" s="37"/>
      <c r="W125" s="37"/>
      <c r="X125" s="37"/>
      <c r="Y125" s="38"/>
      <c r="Z125" s="37"/>
      <c r="AA125" s="37"/>
      <c r="AB125" s="37"/>
      <c r="AC125" s="37"/>
    </row>
    <row r="126" ht="42.75" customHeight="1">
      <c r="A126" s="13" t="s">
        <v>432</v>
      </c>
      <c r="B126" s="13" t="s">
        <v>433</v>
      </c>
      <c r="C126" s="13" t="s">
        <v>416</v>
      </c>
      <c r="D126" s="13" t="s">
        <v>409</v>
      </c>
      <c r="E126" s="13" t="s">
        <v>434</v>
      </c>
      <c r="F126" s="23"/>
      <c r="G126" s="13" t="s">
        <v>49</v>
      </c>
      <c r="H126" s="15">
        <v>45292.0</v>
      </c>
      <c r="I126" s="22"/>
      <c r="J126" s="15">
        <v>45569.0</v>
      </c>
      <c r="K126" s="17">
        <f t="shared" si="1"/>
        <v>277</v>
      </c>
      <c r="L126" s="13" t="s">
        <v>64</v>
      </c>
      <c r="M126" s="18"/>
      <c r="N126" s="26"/>
      <c r="O126" s="13" t="s">
        <v>41</v>
      </c>
      <c r="P126" s="13"/>
      <c r="Q126" s="18"/>
      <c r="R126" s="21"/>
      <c r="S126" s="22"/>
      <c r="T126" s="23"/>
      <c r="U126" s="23"/>
      <c r="V126" s="23"/>
      <c r="W126" s="23"/>
      <c r="X126" s="23"/>
      <c r="Y126" s="24"/>
      <c r="Z126" s="23"/>
      <c r="AA126" s="23"/>
      <c r="AB126" s="23"/>
      <c r="AC126" s="23"/>
    </row>
    <row r="127" ht="21.75" customHeight="1">
      <c r="A127" s="27" t="s">
        <v>435</v>
      </c>
      <c r="B127" s="27" t="s">
        <v>436</v>
      </c>
      <c r="C127" s="27" t="s">
        <v>416</v>
      </c>
      <c r="D127" s="27" t="s">
        <v>409</v>
      </c>
      <c r="E127" s="27" t="s">
        <v>437</v>
      </c>
      <c r="F127" s="37"/>
      <c r="G127" s="27" t="s">
        <v>91</v>
      </c>
      <c r="H127" s="29">
        <v>45600.0</v>
      </c>
      <c r="I127" s="36"/>
      <c r="J127" s="29">
        <v>45799.0</v>
      </c>
      <c r="K127" s="30">
        <f t="shared" si="1"/>
        <v>199</v>
      </c>
      <c r="L127" s="27" t="s">
        <v>40</v>
      </c>
      <c r="M127" s="41"/>
      <c r="N127" s="33"/>
      <c r="O127" s="27"/>
      <c r="P127" s="27" t="s">
        <v>42</v>
      </c>
      <c r="Q127" s="41"/>
      <c r="R127" s="35"/>
      <c r="S127" s="36"/>
      <c r="T127" s="37"/>
      <c r="U127" s="37"/>
      <c r="V127" s="37"/>
      <c r="W127" s="37"/>
      <c r="X127" s="37"/>
      <c r="Y127" s="38"/>
      <c r="Z127" s="37"/>
      <c r="AA127" s="37"/>
      <c r="AB127" s="37"/>
      <c r="AC127" s="37"/>
    </row>
    <row r="128" ht="21.75" customHeight="1">
      <c r="A128" s="13" t="s">
        <v>438</v>
      </c>
      <c r="B128" s="13" t="s">
        <v>439</v>
      </c>
      <c r="C128" s="13" t="s">
        <v>416</v>
      </c>
      <c r="D128" s="13" t="s">
        <v>409</v>
      </c>
      <c r="E128" s="13" t="s">
        <v>440</v>
      </c>
      <c r="F128" s="23"/>
      <c r="G128" s="13" t="s">
        <v>75</v>
      </c>
      <c r="H128" s="15">
        <v>45695.0</v>
      </c>
      <c r="I128" s="22"/>
      <c r="J128" s="15">
        <v>45838.0</v>
      </c>
      <c r="K128" s="17">
        <f t="shared" si="1"/>
        <v>143</v>
      </c>
      <c r="L128" s="13" t="s">
        <v>64</v>
      </c>
      <c r="M128" s="18"/>
      <c r="N128" s="26"/>
      <c r="O128" s="13" t="s">
        <v>58</v>
      </c>
      <c r="P128" s="13"/>
      <c r="Q128" s="18"/>
      <c r="R128" s="21"/>
      <c r="S128" s="22"/>
      <c r="T128" s="23"/>
      <c r="U128" s="23"/>
      <c r="V128" s="23"/>
      <c r="W128" s="23"/>
      <c r="X128" s="23"/>
      <c r="Y128" s="24"/>
      <c r="Z128" s="23"/>
      <c r="AA128" s="23"/>
      <c r="AB128" s="23"/>
      <c r="AC128" s="23"/>
    </row>
    <row r="129" ht="21.75" customHeight="1">
      <c r="A129" s="27" t="s">
        <v>441</v>
      </c>
      <c r="B129" s="27" t="s">
        <v>442</v>
      </c>
      <c r="C129" s="27" t="s">
        <v>416</v>
      </c>
      <c r="D129" s="27" t="s">
        <v>409</v>
      </c>
      <c r="E129" s="27" t="s">
        <v>417</v>
      </c>
      <c r="F129" s="28" t="s">
        <v>37</v>
      </c>
      <c r="G129" s="27" t="s">
        <v>49</v>
      </c>
      <c r="H129" s="29">
        <v>45363.0</v>
      </c>
      <c r="I129" s="36"/>
      <c r="J129" s="29">
        <v>45691.0</v>
      </c>
      <c r="K129" s="30">
        <f t="shared" si="1"/>
        <v>328</v>
      </c>
      <c r="L129" s="27" t="s">
        <v>40</v>
      </c>
      <c r="M129" s="32" t="s">
        <v>443</v>
      </c>
      <c r="N129" s="33"/>
      <c r="O129" s="27" t="s">
        <v>41</v>
      </c>
      <c r="P129" s="31" t="s">
        <v>59</v>
      </c>
      <c r="Q129" s="34" t="s">
        <v>444</v>
      </c>
      <c r="R129" s="43">
        <v>1.0</v>
      </c>
      <c r="S129" s="36"/>
      <c r="T129" s="37"/>
      <c r="U129" s="37"/>
      <c r="V129" s="37"/>
      <c r="W129" s="37"/>
      <c r="X129" s="37"/>
      <c r="Y129" s="38"/>
      <c r="Z129" s="37"/>
      <c r="AA129" s="37"/>
      <c r="AB129" s="37"/>
      <c r="AC129" s="37"/>
    </row>
    <row r="130" ht="21.75" customHeight="1">
      <c r="A130" s="13" t="s">
        <v>445</v>
      </c>
      <c r="B130" s="13" t="s">
        <v>446</v>
      </c>
      <c r="C130" s="13" t="s">
        <v>416</v>
      </c>
      <c r="D130" s="13" t="s">
        <v>409</v>
      </c>
      <c r="E130" s="13" t="s">
        <v>447</v>
      </c>
      <c r="F130" s="23"/>
      <c r="G130" s="13" t="s">
        <v>75</v>
      </c>
      <c r="H130" s="15">
        <v>45035.0</v>
      </c>
      <c r="I130" s="22"/>
      <c r="J130" s="15">
        <v>45437.0</v>
      </c>
      <c r="K130" s="17">
        <f t="shared" si="1"/>
        <v>402</v>
      </c>
      <c r="L130" s="13" t="s">
        <v>56</v>
      </c>
      <c r="M130" s="18"/>
      <c r="N130" s="26"/>
      <c r="O130" s="13" t="s">
        <v>58</v>
      </c>
      <c r="P130" s="13"/>
      <c r="Q130" s="18"/>
      <c r="R130" s="21"/>
      <c r="S130" s="22"/>
      <c r="T130" s="23"/>
      <c r="U130" s="23"/>
      <c r="V130" s="23"/>
      <c r="W130" s="23"/>
      <c r="X130" s="23"/>
      <c r="Y130" s="24"/>
      <c r="Z130" s="23"/>
      <c r="AA130" s="23"/>
      <c r="AB130" s="23"/>
      <c r="AC130" s="23"/>
    </row>
    <row r="131" ht="21.75" customHeight="1">
      <c r="A131" s="27" t="s">
        <v>438</v>
      </c>
      <c r="B131" s="27" t="s">
        <v>439</v>
      </c>
      <c r="C131" s="27" t="s">
        <v>416</v>
      </c>
      <c r="D131" s="27" t="s">
        <v>409</v>
      </c>
      <c r="E131" s="27" t="s">
        <v>440</v>
      </c>
      <c r="F131" s="37"/>
      <c r="G131" s="27" t="s">
        <v>75</v>
      </c>
      <c r="H131" s="29">
        <v>45695.0</v>
      </c>
      <c r="I131" s="36"/>
      <c r="J131" s="29">
        <v>45838.0</v>
      </c>
      <c r="K131" s="30">
        <f t="shared" si="1"/>
        <v>143</v>
      </c>
      <c r="L131" s="27" t="s">
        <v>64</v>
      </c>
      <c r="M131" s="41"/>
      <c r="N131" s="33"/>
      <c r="O131" s="27" t="s">
        <v>41</v>
      </c>
      <c r="P131" s="27"/>
      <c r="Q131" s="41"/>
      <c r="R131" s="35"/>
      <c r="S131" s="36"/>
      <c r="T131" s="37"/>
      <c r="U131" s="37"/>
      <c r="V131" s="37"/>
      <c r="W131" s="37"/>
      <c r="X131" s="37"/>
      <c r="Y131" s="38"/>
      <c r="Z131" s="37"/>
      <c r="AA131" s="37"/>
      <c r="AB131" s="37"/>
      <c r="AC131" s="37"/>
    </row>
    <row r="132" ht="32.25" customHeight="1">
      <c r="A132" s="13" t="s">
        <v>448</v>
      </c>
      <c r="B132" s="13" t="s">
        <v>449</v>
      </c>
      <c r="C132" s="13" t="s">
        <v>416</v>
      </c>
      <c r="D132" s="13" t="s">
        <v>409</v>
      </c>
      <c r="E132" s="13" t="s">
        <v>447</v>
      </c>
      <c r="F132" s="23"/>
      <c r="G132" s="13" t="s">
        <v>399</v>
      </c>
      <c r="H132" s="15">
        <v>45708.0</v>
      </c>
      <c r="I132" s="22"/>
      <c r="J132" s="15">
        <v>46011.0</v>
      </c>
      <c r="K132" s="17">
        <f t="shared" si="1"/>
        <v>303</v>
      </c>
      <c r="L132" s="13" t="s">
        <v>450</v>
      </c>
      <c r="M132" s="18"/>
      <c r="N132" s="26"/>
      <c r="O132" s="13" t="s">
        <v>257</v>
      </c>
      <c r="P132" s="13"/>
      <c r="Q132" s="18"/>
      <c r="R132" s="21"/>
      <c r="S132" s="22"/>
      <c r="T132" s="23"/>
      <c r="U132" s="23"/>
      <c r="V132" s="23"/>
      <c r="W132" s="23"/>
      <c r="X132" s="23"/>
      <c r="Y132" s="24"/>
      <c r="Z132" s="23"/>
      <c r="AA132" s="23"/>
      <c r="AB132" s="23"/>
      <c r="AC132" s="23"/>
    </row>
    <row r="133" ht="21.75" customHeight="1">
      <c r="A133" s="27" t="s">
        <v>451</v>
      </c>
      <c r="B133" s="27" t="s">
        <v>452</v>
      </c>
      <c r="C133" s="27" t="s">
        <v>416</v>
      </c>
      <c r="D133" s="27" t="s">
        <v>409</v>
      </c>
      <c r="E133" s="27" t="s">
        <v>453</v>
      </c>
      <c r="F133" s="37"/>
      <c r="G133" s="27" t="s">
        <v>399</v>
      </c>
      <c r="H133" s="29">
        <v>45708.0</v>
      </c>
      <c r="I133" s="36"/>
      <c r="J133" s="29">
        <v>46011.0</v>
      </c>
      <c r="K133" s="30">
        <f t="shared" si="1"/>
        <v>303</v>
      </c>
      <c r="L133" s="27" t="s">
        <v>450</v>
      </c>
      <c r="M133" s="41"/>
      <c r="N133" s="33"/>
      <c r="O133" s="27" t="s">
        <v>257</v>
      </c>
      <c r="P133" s="27"/>
      <c r="Q133" s="41"/>
      <c r="R133" s="35"/>
      <c r="S133" s="36"/>
      <c r="T133" s="37"/>
      <c r="U133" s="37"/>
      <c r="V133" s="37"/>
      <c r="W133" s="37"/>
      <c r="X133" s="37"/>
      <c r="Y133" s="38"/>
      <c r="Z133" s="37"/>
      <c r="AA133" s="37"/>
      <c r="AB133" s="37"/>
      <c r="AC133" s="37"/>
    </row>
    <row r="134" ht="32.25" customHeight="1">
      <c r="A134" s="13" t="s">
        <v>454</v>
      </c>
      <c r="B134" s="13" t="s">
        <v>455</v>
      </c>
      <c r="C134" s="13" t="s">
        <v>408</v>
      </c>
      <c r="D134" s="13" t="s">
        <v>409</v>
      </c>
      <c r="E134" s="13" t="s">
        <v>456</v>
      </c>
      <c r="F134" s="14" t="s">
        <v>97</v>
      </c>
      <c r="G134" s="13" t="s">
        <v>49</v>
      </c>
      <c r="H134" s="15">
        <v>45691.0</v>
      </c>
      <c r="I134" s="14" t="s">
        <v>457</v>
      </c>
      <c r="J134" s="20" t="s">
        <v>458</v>
      </c>
      <c r="K134" s="17" t="str">
        <f t="shared" si="1"/>
        <v>#VALUE!</v>
      </c>
      <c r="L134" s="13" t="s">
        <v>56</v>
      </c>
      <c r="M134" s="25" t="s">
        <v>459</v>
      </c>
      <c r="N134" s="26"/>
      <c r="O134" s="13"/>
      <c r="P134" s="13" t="s">
        <v>42</v>
      </c>
      <c r="Q134" s="51" t="s">
        <v>460</v>
      </c>
      <c r="R134" s="21"/>
      <c r="S134" s="22"/>
      <c r="T134" s="23"/>
      <c r="U134" s="23"/>
      <c r="V134" s="23"/>
      <c r="W134" s="23"/>
      <c r="X134" s="14" t="s">
        <v>45</v>
      </c>
      <c r="Y134" s="24"/>
      <c r="Z134" s="23"/>
      <c r="AA134" s="14" t="s">
        <v>461</v>
      </c>
      <c r="AB134" s="23"/>
      <c r="AC134" s="23"/>
    </row>
    <row r="135" ht="32.25" customHeight="1">
      <c r="A135" s="27" t="s">
        <v>462</v>
      </c>
      <c r="B135" s="27" t="s">
        <v>463</v>
      </c>
      <c r="C135" s="27" t="s">
        <v>408</v>
      </c>
      <c r="D135" s="27" t="s">
        <v>409</v>
      </c>
      <c r="E135" s="27" t="s">
        <v>456</v>
      </c>
      <c r="F135" s="28" t="s">
        <v>97</v>
      </c>
      <c r="G135" s="27" t="s">
        <v>49</v>
      </c>
      <c r="H135" s="29">
        <v>45691.0</v>
      </c>
      <c r="I135" s="28" t="s">
        <v>464</v>
      </c>
      <c r="J135" s="31" t="s">
        <v>458</v>
      </c>
      <c r="K135" s="30" t="str">
        <f t="shared" si="1"/>
        <v>#VALUE!</v>
      </c>
      <c r="L135" s="27" t="s">
        <v>56</v>
      </c>
      <c r="M135" s="41"/>
      <c r="N135" s="33"/>
      <c r="O135" s="27"/>
      <c r="P135" s="27" t="s">
        <v>42</v>
      </c>
      <c r="Q135" s="41"/>
      <c r="R135" s="35"/>
      <c r="S135" s="36"/>
      <c r="T135" s="37"/>
      <c r="U135" s="37"/>
      <c r="V135" s="37"/>
      <c r="W135" s="37"/>
      <c r="X135" s="37"/>
      <c r="Y135" s="38"/>
      <c r="Z135" s="37"/>
      <c r="AA135" s="37"/>
      <c r="AB135" s="37"/>
      <c r="AC135" s="37"/>
    </row>
    <row r="136" ht="21.75" customHeight="1">
      <c r="A136" s="13" t="s">
        <v>465</v>
      </c>
      <c r="B136" s="13" t="s">
        <v>466</v>
      </c>
      <c r="C136" s="13" t="s">
        <v>416</v>
      </c>
      <c r="D136" s="13" t="s">
        <v>409</v>
      </c>
      <c r="E136" s="13" t="s">
        <v>467</v>
      </c>
      <c r="F136" s="23"/>
      <c r="G136" s="13" t="s">
        <v>75</v>
      </c>
      <c r="H136" s="15">
        <v>45663.0</v>
      </c>
      <c r="I136" s="22"/>
      <c r="J136" s="15">
        <v>45763.0</v>
      </c>
      <c r="K136" s="17">
        <f t="shared" si="1"/>
        <v>100</v>
      </c>
      <c r="L136" s="13" t="s">
        <v>56</v>
      </c>
      <c r="M136" s="18"/>
      <c r="N136" s="26"/>
      <c r="O136" s="13" t="s">
        <v>257</v>
      </c>
      <c r="P136" s="13"/>
      <c r="Q136" s="18"/>
      <c r="R136" s="21"/>
      <c r="S136" s="22"/>
      <c r="T136" s="23"/>
      <c r="U136" s="23"/>
      <c r="V136" s="23"/>
      <c r="W136" s="23"/>
      <c r="X136" s="23"/>
      <c r="Y136" s="24"/>
      <c r="Z136" s="23"/>
      <c r="AA136" s="23"/>
      <c r="AB136" s="23"/>
      <c r="AC136" s="23"/>
    </row>
    <row r="137" ht="32.25" customHeight="1">
      <c r="A137" s="27" t="s">
        <v>468</v>
      </c>
      <c r="B137" s="27" t="s">
        <v>436</v>
      </c>
      <c r="C137" s="27" t="s">
        <v>416</v>
      </c>
      <c r="D137" s="27" t="s">
        <v>409</v>
      </c>
      <c r="E137" s="27" t="s">
        <v>437</v>
      </c>
      <c r="F137" s="37"/>
      <c r="G137" s="27" t="s">
        <v>75</v>
      </c>
      <c r="H137" s="29">
        <v>45575.0</v>
      </c>
      <c r="I137" s="36"/>
      <c r="J137" s="29">
        <v>45749.0</v>
      </c>
      <c r="K137" s="30">
        <f t="shared" si="1"/>
        <v>174</v>
      </c>
      <c r="L137" s="27" t="s">
        <v>56</v>
      </c>
      <c r="M137" s="41"/>
      <c r="N137" s="33"/>
      <c r="O137" s="27" t="s">
        <v>257</v>
      </c>
      <c r="P137" s="27"/>
      <c r="Q137" s="41"/>
      <c r="R137" s="35"/>
      <c r="S137" s="36"/>
      <c r="T137" s="37"/>
      <c r="U137" s="37"/>
      <c r="V137" s="37"/>
      <c r="W137" s="37"/>
      <c r="X137" s="37"/>
      <c r="Y137" s="38"/>
      <c r="Z137" s="37"/>
      <c r="AA137" s="37"/>
      <c r="AB137" s="37"/>
      <c r="AC137" s="37"/>
    </row>
    <row r="138" ht="21.75" customHeight="1">
      <c r="A138" s="13" t="s">
        <v>469</v>
      </c>
      <c r="B138" s="13" t="s">
        <v>470</v>
      </c>
      <c r="C138" s="13" t="s">
        <v>408</v>
      </c>
      <c r="D138" s="13" t="s">
        <v>409</v>
      </c>
      <c r="E138" s="13" t="s">
        <v>456</v>
      </c>
      <c r="F138" s="14" t="s">
        <v>97</v>
      </c>
      <c r="G138" s="13" t="s">
        <v>75</v>
      </c>
      <c r="H138" s="15">
        <v>45397.0</v>
      </c>
      <c r="I138" s="22"/>
      <c r="J138" s="15">
        <v>45470.0</v>
      </c>
      <c r="K138" s="17">
        <f t="shared" si="1"/>
        <v>73</v>
      </c>
      <c r="L138" s="13" t="s">
        <v>64</v>
      </c>
      <c r="M138" s="18"/>
      <c r="N138" s="26"/>
      <c r="O138" s="13"/>
      <c r="P138" s="13" t="s">
        <v>42</v>
      </c>
      <c r="Q138" s="18"/>
      <c r="R138" s="21"/>
      <c r="S138" s="22"/>
      <c r="T138" s="23"/>
      <c r="U138" s="23"/>
      <c r="V138" s="23"/>
      <c r="W138" s="23"/>
      <c r="X138" s="23"/>
      <c r="Y138" s="24"/>
      <c r="Z138" s="23"/>
      <c r="AA138" s="23"/>
      <c r="AB138" s="23"/>
      <c r="AC138" s="23"/>
    </row>
    <row r="139" ht="32.25" customHeight="1">
      <c r="A139" s="27" t="s">
        <v>471</v>
      </c>
      <c r="B139" s="27" t="s">
        <v>472</v>
      </c>
      <c r="C139" s="27" t="s">
        <v>408</v>
      </c>
      <c r="D139" s="27" t="s">
        <v>409</v>
      </c>
      <c r="E139" s="27" t="s">
        <v>473</v>
      </c>
      <c r="F139" s="28" t="s">
        <v>97</v>
      </c>
      <c r="G139" s="27" t="s">
        <v>75</v>
      </c>
      <c r="H139" s="29">
        <v>45576.0</v>
      </c>
      <c r="I139" s="36"/>
      <c r="J139" s="29">
        <v>45708.0</v>
      </c>
      <c r="K139" s="30">
        <f t="shared" si="1"/>
        <v>132</v>
      </c>
      <c r="L139" s="27" t="s">
        <v>56</v>
      </c>
      <c r="M139" s="41"/>
      <c r="N139" s="33"/>
      <c r="O139" s="27"/>
      <c r="P139" s="27" t="s">
        <v>42</v>
      </c>
      <c r="Q139" s="41"/>
      <c r="R139" s="35"/>
      <c r="S139" s="36"/>
      <c r="T139" s="37"/>
      <c r="U139" s="37"/>
      <c r="V139" s="37"/>
      <c r="W139" s="37"/>
      <c r="X139" s="37"/>
      <c r="Y139" s="38"/>
      <c r="Z139" s="37"/>
      <c r="AA139" s="37"/>
      <c r="AB139" s="37"/>
      <c r="AC139" s="37"/>
    </row>
    <row r="140" ht="32.25" customHeight="1">
      <c r="A140" s="13" t="s">
        <v>474</v>
      </c>
      <c r="B140" s="13" t="s">
        <v>475</v>
      </c>
      <c r="C140" s="13" t="s">
        <v>416</v>
      </c>
      <c r="D140" s="13" t="s">
        <v>409</v>
      </c>
      <c r="E140" s="13" t="s">
        <v>476</v>
      </c>
      <c r="F140" s="14" t="s">
        <v>37</v>
      </c>
      <c r="G140" s="20" t="s">
        <v>38</v>
      </c>
      <c r="H140" s="16">
        <v>46045.0</v>
      </c>
      <c r="I140" s="22"/>
      <c r="J140" s="16">
        <v>46203.0</v>
      </c>
      <c r="K140" s="17">
        <f t="shared" si="1"/>
        <v>158</v>
      </c>
      <c r="L140" s="13" t="s">
        <v>40</v>
      </c>
      <c r="M140" s="18"/>
      <c r="N140" s="26"/>
      <c r="O140" s="13" t="s">
        <v>257</v>
      </c>
      <c r="P140" s="13"/>
      <c r="Q140" s="18"/>
      <c r="R140" s="21"/>
      <c r="S140" s="22"/>
      <c r="T140" s="23"/>
      <c r="U140" s="23"/>
      <c r="V140" s="23"/>
      <c r="W140" s="23"/>
      <c r="X140" s="23"/>
      <c r="Y140" s="24"/>
      <c r="Z140" s="23"/>
      <c r="AA140" s="23"/>
      <c r="AB140" s="23"/>
      <c r="AC140" s="23"/>
    </row>
    <row r="141" ht="32.25" customHeight="1">
      <c r="A141" s="27" t="s">
        <v>477</v>
      </c>
      <c r="B141" s="27" t="s">
        <v>478</v>
      </c>
      <c r="C141" s="27" t="s">
        <v>416</v>
      </c>
      <c r="D141" s="27" t="s">
        <v>409</v>
      </c>
      <c r="E141" s="27" t="s">
        <v>479</v>
      </c>
      <c r="F141" s="28" t="s">
        <v>86</v>
      </c>
      <c r="G141" s="31" t="s">
        <v>38</v>
      </c>
      <c r="H141" s="50">
        <v>46054.0</v>
      </c>
      <c r="I141" s="36"/>
      <c r="J141" s="50">
        <v>46173.0</v>
      </c>
      <c r="K141" s="30">
        <f t="shared" si="1"/>
        <v>119</v>
      </c>
      <c r="L141" s="27" t="s">
        <v>64</v>
      </c>
      <c r="M141" s="41"/>
      <c r="N141" s="33"/>
      <c r="O141" s="27" t="s">
        <v>257</v>
      </c>
      <c r="P141" s="27"/>
      <c r="Q141" s="41"/>
      <c r="R141" s="35"/>
      <c r="S141" s="36"/>
      <c r="T141" s="37"/>
      <c r="U141" s="37"/>
      <c r="V141" s="37"/>
      <c r="W141" s="37"/>
      <c r="X141" s="37"/>
      <c r="Y141" s="38"/>
      <c r="Z141" s="37"/>
      <c r="AA141" s="37"/>
      <c r="AB141" s="37"/>
      <c r="AC141" s="37"/>
    </row>
    <row r="142" ht="42.75" customHeight="1">
      <c r="A142" s="13" t="s">
        <v>480</v>
      </c>
      <c r="B142" s="13" t="s">
        <v>481</v>
      </c>
      <c r="C142" s="13" t="s">
        <v>416</v>
      </c>
      <c r="D142" s="13" t="s">
        <v>409</v>
      </c>
      <c r="E142" s="13" t="s">
        <v>482</v>
      </c>
      <c r="F142" s="14" t="s">
        <v>37</v>
      </c>
      <c r="G142" s="20" t="s">
        <v>38</v>
      </c>
      <c r="H142" s="16">
        <v>46082.0</v>
      </c>
      <c r="I142" s="22"/>
      <c r="J142" s="16">
        <v>46226.0</v>
      </c>
      <c r="K142" s="17">
        <f t="shared" si="1"/>
        <v>144</v>
      </c>
      <c r="L142" s="13" t="s">
        <v>40</v>
      </c>
      <c r="M142" s="18"/>
      <c r="N142" s="26"/>
      <c r="O142" s="13" t="s">
        <v>257</v>
      </c>
      <c r="P142" s="13"/>
      <c r="Q142" s="18"/>
      <c r="R142" s="21"/>
      <c r="S142" s="22"/>
      <c r="T142" s="23"/>
      <c r="U142" s="23"/>
      <c r="V142" s="23"/>
      <c r="W142" s="23"/>
      <c r="X142" s="23"/>
      <c r="Y142" s="24"/>
      <c r="Z142" s="23"/>
      <c r="AA142" s="23"/>
      <c r="AB142" s="23"/>
      <c r="AC142" s="23"/>
    </row>
    <row r="143" ht="15.0" customHeight="1">
      <c r="A143" s="27" t="s">
        <v>483</v>
      </c>
      <c r="B143" s="27" t="s">
        <v>484</v>
      </c>
      <c r="C143" s="27" t="s">
        <v>416</v>
      </c>
      <c r="D143" s="27" t="s">
        <v>409</v>
      </c>
      <c r="E143" s="27" t="s">
        <v>479</v>
      </c>
      <c r="F143" s="37"/>
      <c r="G143" s="27" t="s">
        <v>364</v>
      </c>
      <c r="H143" s="29">
        <v>45616.0</v>
      </c>
      <c r="I143" s="36"/>
      <c r="J143" s="29">
        <v>45869.0</v>
      </c>
      <c r="K143" s="30">
        <f t="shared" si="1"/>
        <v>253</v>
      </c>
      <c r="L143" s="27" t="s">
        <v>40</v>
      </c>
      <c r="M143" s="41"/>
      <c r="N143" s="33"/>
      <c r="O143" s="27" t="s">
        <v>257</v>
      </c>
      <c r="P143" s="27"/>
      <c r="Q143" s="41"/>
      <c r="R143" s="35"/>
      <c r="S143" s="36"/>
      <c r="T143" s="37"/>
      <c r="U143" s="37"/>
      <c r="V143" s="37"/>
      <c r="W143" s="37"/>
      <c r="X143" s="37"/>
      <c r="Y143" s="38"/>
      <c r="Z143" s="37"/>
      <c r="AA143" s="37"/>
      <c r="AB143" s="37"/>
      <c r="AC143" s="37"/>
    </row>
    <row r="144" ht="21.75" customHeight="1">
      <c r="A144" s="13" t="s">
        <v>485</v>
      </c>
      <c r="B144" s="13" t="s">
        <v>484</v>
      </c>
      <c r="C144" s="13" t="s">
        <v>416</v>
      </c>
      <c r="D144" s="13" t="s">
        <v>409</v>
      </c>
      <c r="E144" s="13" t="s">
        <v>479</v>
      </c>
      <c r="F144" s="23"/>
      <c r="G144" s="13" t="s">
        <v>399</v>
      </c>
      <c r="H144" s="15">
        <v>45674.0</v>
      </c>
      <c r="I144" s="22"/>
      <c r="J144" s="15">
        <v>45777.0</v>
      </c>
      <c r="K144" s="17">
        <f t="shared" si="1"/>
        <v>103</v>
      </c>
      <c r="L144" s="13" t="s">
        <v>40</v>
      </c>
      <c r="M144" s="18"/>
      <c r="N144" s="26"/>
      <c r="O144" s="13" t="s">
        <v>257</v>
      </c>
      <c r="P144" s="13"/>
      <c r="Q144" s="18"/>
      <c r="R144" s="21"/>
      <c r="S144" s="22"/>
      <c r="T144" s="23"/>
      <c r="U144" s="23"/>
      <c r="V144" s="23"/>
      <c r="W144" s="23"/>
      <c r="X144" s="23"/>
      <c r="Y144" s="24"/>
      <c r="Z144" s="23"/>
      <c r="AA144" s="23"/>
      <c r="AB144" s="23"/>
      <c r="AC144" s="23"/>
    </row>
    <row r="145" ht="15.0" customHeight="1">
      <c r="A145" s="27" t="s">
        <v>486</v>
      </c>
      <c r="B145" s="27" t="s">
        <v>487</v>
      </c>
      <c r="C145" s="27" t="s">
        <v>416</v>
      </c>
      <c r="D145" s="27" t="s">
        <v>409</v>
      </c>
      <c r="E145" s="27" t="s">
        <v>488</v>
      </c>
      <c r="F145" s="37"/>
      <c r="G145" s="27" t="s">
        <v>75</v>
      </c>
      <c r="H145" s="29">
        <v>45620.0</v>
      </c>
      <c r="I145" s="36"/>
      <c r="J145" s="29">
        <v>45990.0</v>
      </c>
      <c r="K145" s="30">
        <f t="shared" si="1"/>
        <v>370</v>
      </c>
      <c r="L145" s="27" t="s">
        <v>64</v>
      </c>
      <c r="M145" s="41"/>
      <c r="N145" s="33"/>
      <c r="O145" s="27" t="s">
        <v>257</v>
      </c>
      <c r="P145" s="27"/>
      <c r="Q145" s="41"/>
      <c r="R145" s="35"/>
      <c r="S145" s="36"/>
      <c r="T145" s="37"/>
      <c r="U145" s="37"/>
      <c r="V145" s="37"/>
      <c r="W145" s="37"/>
      <c r="X145" s="37"/>
      <c r="Y145" s="38"/>
      <c r="Z145" s="37"/>
      <c r="AA145" s="37"/>
      <c r="AB145" s="37"/>
      <c r="AC145" s="37"/>
    </row>
    <row r="146" ht="42.75" customHeight="1">
      <c r="A146" s="13" t="s">
        <v>489</v>
      </c>
      <c r="B146" s="13" t="s">
        <v>490</v>
      </c>
      <c r="C146" s="13" t="s">
        <v>416</v>
      </c>
      <c r="D146" s="13" t="s">
        <v>409</v>
      </c>
      <c r="E146" s="13" t="s">
        <v>488</v>
      </c>
      <c r="F146" s="23"/>
      <c r="G146" s="13" t="s">
        <v>75</v>
      </c>
      <c r="H146" s="15">
        <v>45709.0</v>
      </c>
      <c r="I146" s="22"/>
      <c r="J146" s="15">
        <v>45944.0</v>
      </c>
      <c r="K146" s="17">
        <f t="shared" si="1"/>
        <v>235</v>
      </c>
      <c r="L146" s="13" t="s">
        <v>64</v>
      </c>
      <c r="M146" s="18"/>
      <c r="N146" s="26"/>
      <c r="O146" s="13" t="s">
        <v>257</v>
      </c>
      <c r="P146" s="13"/>
      <c r="Q146" s="18"/>
      <c r="R146" s="21"/>
      <c r="S146" s="22"/>
      <c r="T146" s="23"/>
      <c r="U146" s="23"/>
      <c r="V146" s="23"/>
      <c r="W146" s="23"/>
      <c r="X146" s="23"/>
      <c r="Y146" s="24"/>
      <c r="Z146" s="23"/>
      <c r="AA146" s="23"/>
      <c r="AB146" s="23"/>
      <c r="AC146" s="23"/>
    </row>
    <row r="147" ht="53.25" customHeight="1">
      <c r="A147" s="27" t="s">
        <v>491</v>
      </c>
      <c r="B147" s="27" t="s">
        <v>492</v>
      </c>
      <c r="C147" s="27" t="s">
        <v>416</v>
      </c>
      <c r="D147" s="27" t="s">
        <v>409</v>
      </c>
      <c r="E147" s="27" t="s">
        <v>493</v>
      </c>
      <c r="F147" s="37"/>
      <c r="G147" s="31" t="s">
        <v>49</v>
      </c>
      <c r="H147" s="29">
        <v>45476.0</v>
      </c>
      <c r="I147" s="36"/>
      <c r="J147" s="29">
        <v>45734.0</v>
      </c>
      <c r="K147" s="30">
        <f t="shared" si="1"/>
        <v>258</v>
      </c>
      <c r="L147" s="27" t="s">
        <v>40</v>
      </c>
      <c r="M147" s="41"/>
      <c r="N147" s="33"/>
      <c r="O147" s="27" t="s">
        <v>41</v>
      </c>
      <c r="P147" s="27"/>
      <c r="Q147" s="41"/>
      <c r="R147" s="35"/>
      <c r="S147" s="36"/>
      <c r="T147" s="37"/>
      <c r="U147" s="37"/>
      <c r="V147" s="37"/>
      <c r="W147" s="37"/>
      <c r="X147" s="37"/>
      <c r="Y147" s="38"/>
      <c r="Z147" s="37"/>
      <c r="AA147" s="37"/>
      <c r="AB147" s="37"/>
      <c r="AC147" s="37"/>
    </row>
    <row r="148" ht="32.25" customHeight="1">
      <c r="A148" s="13" t="s">
        <v>494</v>
      </c>
      <c r="B148" s="13" t="s">
        <v>492</v>
      </c>
      <c r="C148" s="13" t="s">
        <v>416</v>
      </c>
      <c r="D148" s="13" t="s">
        <v>409</v>
      </c>
      <c r="E148" s="13" t="s">
        <v>495</v>
      </c>
      <c r="F148" s="23"/>
      <c r="G148" s="13" t="s">
        <v>75</v>
      </c>
      <c r="H148" s="15">
        <v>45713.0</v>
      </c>
      <c r="I148" s="22"/>
      <c r="J148" s="15">
        <v>45945.0</v>
      </c>
      <c r="K148" s="17">
        <f t="shared" si="1"/>
        <v>232</v>
      </c>
      <c r="L148" s="13" t="s">
        <v>40</v>
      </c>
      <c r="M148" s="18"/>
      <c r="N148" s="26"/>
      <c r="O148" s="13" t="s">
        <v>41</v>
      </c>
      <c r="P148" s="13"/>
      <c r="Q148" s="18"/>
      <c r="R148" s="21"/>
      <c r="S148" s="22"/>
      <c r="T148" s="23"/>
      <c r="U148" s="23"/>
      <c r="V148" s="23"/>
      <c r="W148" s="23"/>
      <c r="X148" s="23"/>
      <c r="Y148" s="24"/>
      <c r="Z148" s="23"/>
      <c r="AA148" s="23"/>
      <c r="AB148" s="23"/>
      <c r="AC148" s="23"/>
    </row>
    <row r="149" ht="32.25" customHeight="1">
      <c r="A149" s="27" t="s">
        <v>496</v>
      </c>
      <c r="B149" s="27" t="s">
        <v>497</v>
      </c>
      <c r="C149" s="27" t="s">
        <v>408</v>
      </c>
      <c r="D149" s="27" t="s">
        <v>409</v>
      </c>
      <c r="E149" s="27" t="s">
        <v>456</v>
      </c>
      <c r="F149" s="28" t="s">
        <v>97</v>
      </c>
      <c r="G149" s="31" t="s">
        <v>75</v>
      </c>
      <c r="H149" s="29">
        <v>45564.0</v>
      </c>
      <c r="I149" s="52">
        <v>46023.0</v>
      </c>
      <c r="J149" s="31" t="s">
        <v>498</v>
      </c>
      <c r="K149" s="30" t="str">
        <f t="shared" si="1"/>
        <v>#VALUE!</v>
      </c>
      <c r="L149" s="31" t="s">
        <v>64</v>
      </c>
      <c r="M149" s="41"/>
      <c r="N149" s="33"/>
      <c r="O149" s="31" t="s">
        <v>257</v>
      </c>
      <c r="P149" s="31" t="s">
        <v>42</v>
      </c>
      <c r="Q149" s="41"/>
      <c r="R149" s="35"/>
      <c r="S149" s="36"/>
      <c r="T149" s="37"/>
      <c r="U149" s="37"/>
      <c r="V149" s="37"/>
      <c r="W149" s="37"/>
      <c r="X149" s="37"/>
      <c r="Y149" s="38"/>
      <c r="Z149" s="37"/>
      <c r="AA149" s="37"/>
      <c r="AB149" s="37"/>
      <c r="AC149" s="37"/>
    </row>
    <row r="150" ht="32.25" customHeight="1">
      <c r="A150" s="13" t="s">
        <v>499</v>
      </c>
      <c r="B150" s="13" t="s">
        <v>497</v>
      </c>
      <c r="C150" s="13" t="s">
        <v>408</v>
      </c>
      <c r="D150" s="13" t="s">
        <v>409</v>
      </c>
      <c r="E150" s="13" t="s">
        <v>456</v>
      </c>
      <c r="F150" s="14" t="s">
        <v>97</v>
      </c>
      <c r="G150" s="13" t="s">
        <v>49</v>
      </c>
      <c r="H150" s="15">
        <v>45661.0</v>
      </c>
      <c r="I150" s="22"/>
      <c r="J150" s="15">
        <v>45917.0</v>
      </c>
      <c r="K150" s="17">
        <f t="shared" si="1"/>
        <v>256</v>
      </c>
      <c r="L150" s="13" t="s">
        <v>40</v>
      </c>
      <c r="M150" s="25" t="s">
        <v>500</v>
      </c>
      <c r="N150" s="26"/>
      <c r="O150" s="20" t="s">
        <v>41</v>
      </c>
      <c r="P150" s="13"/>
      <c r="Q150" s="25" t="s">
        <v>501</v>
      </c>
      <c r="R150" s="21"/>
      <c r="S150" s="22"/>
      <c r="T150" s="23"/>
      <c r="U150" s="23"/>
      <c r="V150" s="23"/>
      <c r="W150" s="23"/>
      <c r="X150" s="14" t="s">
        <v>45</v>
      </c>
      <c r="Y150" s="24"/>
      <c r="Z150" s="23"/>
      <c r="AA150" s="14" t="s">
        <v>502</v>
      </c>
      <c r="AB150" s="23"/>
      <c r="AC150" s="23"/>
    </row>
    <row r="151" ht="32.25" customHeight="1">
      <c r="A151" s="27" t="s">
        <v>503</v>
      </c>
      <c r="B151" s="27" t="s">
        <v>497</v>
      </c>
      <c r="C151" s="27" t="s">
        <v>408</v>
      </c>
      <c r="D151" s="27" t="s">
        <v>409</v>
      </c>
      <c r="E151" s="27" t="s">
        <v>504</v>
      </c>
      <c r="F151" s="28" t="s">
        <v>97</v>
      </c>
      <c r="G151" s="31" t="s">
        <v>75</v>
      </c>
      <c r="H151" s="29">
        <v>45618.0</v>
      </c>
      <c r="I151" s="52">
        <v>46023.0</v>
      </c>
      <c r="J151" s="31" t="s">
        <v>498</v>
      </c>
      <c r="K151" s="30" t="str">
        <f t="shared" si="1"/>
        <v>#VALUE!</v>
      </c>
      <c r="L151" s="31" t="s">
        <v>64</v>
      </c>
      <c r="M151" s="41"/>
      <c r="N151" s="33"/>
      <c r="O151" s="31" t="s">
        <v>257</v>
      </c>
      <c r="P151" s="31" t="s">
        <v>42</v>
      </c>
      <c r="Q151" s="41"/>
      <c r="R151" s="35"/>
      <c r="S151" s="36"/>
      <c r="T151" s="37"/>
      <c r="U151" s="37"/>
      <c r="V151" s="37"/>
      <c r="W151" s="37"/>
      <c r="X151" s="37"/>
      <c r="Y151" s="38"/>
      <c r="Z151" s="37"/>
      <c r="AA151" s="37"/>
      <c r="AB151" s="37"/>
      <c r="AC151" s="37"/>
    </row>
    <row r="152" ht="21.75" customHeight="1">
      <c r="A152" s="13" t="s">
        <v>445</v>
      </c>
      <c r="B152" s="13" t="s">
        <v>446</v>
      </c>
      <c r="C152" s="13" t="s">
        <v>416</v>
      </c>
      <c r="D152" s="13" t="s">
        <v>409</v>
      </c>
      <c r="E152" s="13" t="s">
        <v>505</v>
      </c>
      <c r="F152" s="23"/>
      <c r="G152" s="13" t="s">
        <v>75</v>
      </c>
      <c r="H152" s="15">
        <v>45035.0</v>
      </c>
      <c r="I152" s="22"/>
      <c r="J152" s="15">
        <v>45437.0</v>
      </c>
      <c r="K152" s="17">
        <f t="shared" si="1"/>
        <v>402</v>
      </c>
      <c r="L152" s="13" t="s">
        <v>56</v>
      </c>
      <c r="M152" s="18"/>
      <c r="N152" s="26"/>
      <c r="O152" s="13" t="s">
        <v>58</v>
      </c>
      <c r="P152" s="13"/>
      <c r="Q152" s="18"/>
      <c r="R152" s="21"/>
      <c r="S152" s="22"/>
      <c r="T152" s="23"/>
      <c r="U152" s="23"/>
      <c r="V152" s="23"/>
      <c r="W152" s="23"/>
      <c r="X152" s="23"/>
      <c r="Y152" s="24"/>
      <c r="Z152" s="23"/>
      <c r="AA152" s="23"/>
      <c r="AB152" s="23"/>
      <c r="AC152" s="23"/>
    </row>
    <row r="153" ht="21.75" customHeight="1">
      <c r="A153" s="27" t="s">
        <v>506</v>
      </c>
      <c r="B153" s="27" t="s">
        <v>507</v>
      </c>
      <c r="C153" s="27" t="s">
        <v>416</v>
      </c>
      <c r="D153" s="27" t="s">
        <v>409</v>
      </c>
      <c r="E153" s="27" t="s">
        <v>505</v>
      </c>
      <c r="F153" s="37"/>
      <c r="G153" s="31" t="s">
        <v>49</v>
      </c>
      <c r="H153" s="29">
        <v>45346.0</v>
      </c>
      <c r="I153" s="36"/>
      <c r="J153" s="29">
        <v>45763.0</v>
      </c>
      <c r="K153" s="30">
        <f t="shared" si="1"/>
        <v>417</v>
      </c>
      <c r="L153" s="27" t="s">
        <v>56</v>
      </c>
      <c r="M153" s="41"/>
      <c r="N153" s="33"/>
      <c r="O153" s="27" t="s">
        <v>58</v>
      </c>
      <c r="P153" s="27" t="s">
        <v>42</v>
      </c>
      <c r="Q153" s="41"/>
      <c r="R153" s="35"/>
      <c r="S153" s="36"/>
      <c r="T153" s="37"/>
      <c r="U153" s="37"/>
      <c r="V153" s="37"/>
      <c r="W153" s="37"/>
      <c r="X153" s="37"/>
      <c r="Y153" s="38"/>
      <c r="Z153" s="37"/>
      <c r="AA153" s="37"/>
      <c r="AB153" s="37"/>
      <c r="AC153" s="37"/>
    </row>
    <row r="154" ht="32.25" customHeight="1">
      <c r="A154" s="13" t="s">
        <v>508</v>
      </c>
      <c r="B154" s="13" t="s">
        <v>509</v>
      </c>
      <c r="C154" s="13" t="s">
        <v>416</v>
      </c>
      <c r="D154" s="13" t="s">
        <v>409</v>
      </c>
      <c r="E154" s="13" t="s">
        <v>505</v>
      </c>
      <c r="F154" s="23"/>
      <c r="G154" s="13" t="s">
        <v>38</v>
      </c>
      <c r="H154" s="15">
        <v>45258.0</v>
      </c>
      <c r="I154" s="22"/>
      <c r="J154" s="15">
        <v>45808.0</v>
      </c>
      <c r="K154" s="17">
        <f t="shared" si="1"/>
        <v>550</v>
      </c>
      <c r="L154" s="13" t="s">
        <v>56</v>
      </c>
      <c r="M154" s="18"/>
      <c r="N154" s="26"/>
      <c r="O154" s="13" t="s">
        <v>58</v>
      </c>
      <c r="P154" s="13"/>
      <c r="Q154" s="18"/>
      <c r="R154" s="21"/>
      <c r="S154" s="22"/>
      <c r="T154" s="23"/>
      <c r="U154" s="23"/>
      <c r="V154" s="23"/>
      <c r="W154" s="23"/>
      <c r="X154" s="23"/>
      <c r="Y154" s="24"/>
      <c r="Z154" s="23"/>
      <c r="AA154" s="23"/>
      <c r="AB154" s="23"/>
      <c r="AC154" s="23"/>
    </row>
    <row r="155" ht="32.25" customHeight="1">
      <c r="A155" s="27" t="s">
        <v>510</v>
      </c>
      <c r="B155" s="27" t="s">
        <v>511</v>
      </c>
      <c r="C155" s="27" t="s">
        <v>416</v>
      </c>
      <c r="D155" s="27" t="s">
        <v>409</v>
      </c>
      <c r="E155" s="27" t="s">
        <v>512</v>
      </c>
      <c r="F155" s="37"/>
      <c r="G155" s="27" t="s">
        <v>49</v>
      </c>
      <c r="H155" s="29">
        <v>45558.0</v>
      </c>
      <c r="I155" s="36"/>
      <c r="J155" s="29">
        <v>45618.0</v>
      </c>
      <c r="K155" s="30">
        <f t="shared" si="1"/>
        <v>60</v>
      </c>
      <c r="L155" s="27" t="s">
        <v>64</v>
      </c>
      <c r="M155" s="41"/>
      <c r="N155" s="33"/>
      <c r="O155" s="27" t="s">
        <v>58</v>
      </c>
      <c r="P155" s="27"/>
      <c r="Q155" s="41"/>
      <c r="R155" s="35"/>
      <c r="S155" s="36"/>
      <c r="T155" s="37"/>
      <c r="U155" s="37"/>
      <c r="V155" s="37"/>
      <c r="W155" s="37"/>
      <c r="X155" s="37"/>
      <c r="Y155" s="38"/>
      <c r="Z155" s="37"/>
      <c r="AA155" s="37"/>
      <c r="AB155" s="37"/>
      <c r="AC155" s="37"/>
    </row>
    <row r="156" ht="21.75" customHeight="1">
      <c r="A156" s="13" t="s">
        <v>513</v>
      </c>
      <c r="B156" s="13" t="s">
        <v>514</v>
      </c>
      <c r="C156" s="13" t="s">
        <v>416</v>
      </c>
      <c r="D156" s="13" t="s">
        <v>409</v>
      </c>
      <c r="E156" s="13" t="s">
        <v>505</v>
      </c>
      <c r="F156" s="14" t="s">
        <v>37</v>
      </c>
      <c r="G156" s="13" t="s">
        <v>399</v>
      </c>
      <c r="H156" s="15">
        <v>45762.0</v>
      </c>
      <c r="I156" s="22"/>
      <c r="J156" s="15">
        <v>46022.0</v>
      </c>
      <c r="K156" s="17">
        <f t="shared" si="1"/>
        <v>260</v>
      </c>
      <c r="L156" s="13" t="s">
        <v>450</v>
      </c>
      <c r="M156" s="18"/>
      <c r="N156" s="26"/>
      <c r="O156" s="13" t="s">
        <v>257</v>
      </c>
      <c r="P156" s="13"/>
      <c r="Q156" s="18"/>
      <c r="R156" s="21"/>
      <c r="S156" s="22"/>
      <c r="T156" s="23"/>
      <c r="U156" s="23"/>
      <c r="V156" s="23"/>
      <c r="W156" s="23"/>
      <c r="X156" s="23"/>
      <c r="Y156" s="24"/>
      <c r="Z156" s="23"/>
      <c r="AA156" s="23"/>
      <c r="AB156" s="23"/>
      <c r="AC156" s="23"/>
    </row>
    <row r="157" ht="21.75" customHeight="1">
      <c r="A157" s="27" t="s">
        <v>515</v>
      </c>
      <c r="B157" s="27" t="s">
        <v>516</v>
      </c>
      <c r="C157" s="27" t="s">
        <v>416</v>
      </c>
      <c r="D157" s="27" t="s">
        <v>409</v>
      </c>
      <c r="E157" s="27" t="s">
        <v>517</v>
      </c>
      <c r="F157" s="37"/>
      <c r="G157" s="27" t="s">
        <v>399</v>
      </c>
      <c r="H157" s="29">
        <v>45689.0</v>
      </c>
      <c r="I157" s="36"/>
      <c r="J157" s="29">
        <v>45838.0</v>
      </c>
      <c r="K157" s="30">
        <f t="shared" si="1"/>
        <v>149</v>
      </c>
      <c r="L157" s="27" t="s">
        <v>64</v>
      </c>
      <c r="M157" s="41"/>
      <c r="N157" s="33"/>
      <c r="O157" s="27" t="s">
        <v>257</v>
      </c>
      <c r="P157" s="27"/>
      <c r="Q157" s="41"/>
      <c r="R157" s="35"/>
      <c r="S157" s="36"/>
      <c r="T157" s="37"/>
      <c r="U157" s="37"/>
      <c r="V157" s="37"/>
      <c r="W157" s="37"/>
      <c r="X157" s="37"/>
      <c r="Y157" s="38"/>
      <c r="Z157" s="37"/>
      <c r="AA157" s="37"/>
      <c r="AB157" s="37"/>
      <c r="AC157" s="37"/>
    </row>
    <row r="158" ht="21.75" customHeight="1">
      <c r="A158" s="13" t="s">
        <v>518</v>
      </c>
      <c r="B158" s="13" t="s">
        <v>519</v>
      </c>
      <c r="C158" s="13" t="s">
        <v>416</v>
      </c>
      <c r="D158" s="13" t="s">
        <v>409</v>
      </c>
      <c r="E158" s="13" t="s">
        <v>520</v>
      </c>
      <c r="F158" s="23"/>
      <c r="G158" s="20" t="s">
        <v>49</v>
      </c>
      <c r="H158" s="15">
        <v>45496.0</v>
      </c>
      <c r="I158" s="22"/>
      <c r="J158" s="15">
        <v>45594.0</v>
      </c>
      <c r="K158" s="17">
        <f t="shared" si="1"/>
        <v>98</v>
      </c>
      <c r="L158" s="13" t="s">
        <v>64</v>
      </c>
      <c r="M158" s="18"/>
      <c r="N158" s="26"/>
      <c r="O158" s="13" t="s">
        <v>257</v>
      </c>
      <c r="P158" s="13"/>
      <c r="Q158" s="18"/>
      <c r="R158" s="21"/>
      <c r="S158" s="22"/>
      <c r="T158" s="23"/>
      <c r="U158" s="23"/>
      <c r="V158" s="23"/>
      <c r="W158" s="23"/>
      <c r="X158" s="23"/>
      <c r="Y158" s="24"/>
      <c r="Z158" s="23"/>
      <c r="AA158" s="23"/>
      <c r="AB158" s="23"/>
      <c r="AC158" s="23"/>
    </row>
    <row r="159" ht="21.75" customHeight="1">
      <c r="A159" s="27" t="s">
        <v>521</v>
      </c>
      <c r="B159" s="31" t="s">
        <v>522</v>
      </c>
      <c r="C159" s="27" t="s">
        <v>408</v>
      </c>
      <c r="D159" s="27" t="s">
        <v>409</v>
      </c>
      <c r="E159" s="27" t="s">
        <v>523</v>
      </c>
      <c r="F159" s="37"/>
      <c r="G159" s="27" t="s">
        <v>49</v>
      </c>
      <c r="H159" s="29">
        <v>45432.0</v>
      </c>
      <c r="I159" s="36"/>
      <c r="J159" s="29">
        <v>45572.0</v>
      </c>
      <c r="K159" s="30">
        <f t="shared" si="1"/>
        <v>140</v>
      </c>
      <c r="L159" s="27" t="s">
        <v>40</v>
      </c>
      <c r="M159" s="41"/>
      <c r="N159" s="33"/>
      <c r="O159" s="27" t="s">
        <v>41</v>
      </c>
      <c r="P159" s="27"/>
      <c r="Q159" s="41"/>
      <c r="R159" s="35"/>
      <c r="S159" s="36"/>
      <c r="T159" s="37"/>
      <c r="U159" s="37"/>
      <c r="V159" s="37"/>
      <c r="W159" s="37"/>
      <c r="X159" s="37"/>
      <c r="Y159" s="38"/>
      <c r="Z159" s="37"/>
      <c r="AA159" s="37"/>
      <c r="AB159" s="37"/>
      <c r="AC159" s="37"/>
    </row>
    <row r="160" ht="21.75" customHeight="1">
      <c r="A160" s="13" t="s">
        <v>524</v>
      </c>
      <c r="B160" s="13" t="s">
        <v>525</v>
      </c>
      <c r="C160" s="13" t="s">
        <v>408</v>
      </c>
      <c r="D160" s="13" t="s">
        <v>409</v>
      </c>
      <c r="E160" s="13" t="s">
        <v>526</v>
      </c>
      <c r="F160" s="23"/>
      <c r="G160" s="13" t="s">
        <v>49</v>
      </c>
      <c r="H160" s="15">
        <v>45343.0</v>
      </c>
      <c r="I160" s="22"/>
      <c r="J160" s="15">
        <v>45658.0</v>
      </c>
      <c r="K160" s="17">
        <f t="shared" si="1"/>
        <v>315</v>
      </c>
      <c r="L160" s="13" t="s">
        <v>40</v>
      </c>
      <c r="M160" s="18"/>
      <c r="N160" s="26"/>
      <c r="O160" s="13" t="s">
        <v>81</v>
      </c>
      <c r="P160" s="13"/>
      <c r="Q160" s="18"/>
      <c r="R160" s="21"/>
      <c r="S160" s="22"/>
      <c r="T160" s="23"/>
      <c r="U160" s="23"/>
      <c r="V160" s="23"/>
      <c r="W160" s="23"/>
      <c r="X160" s="23"/>
      <c r="Y160" s="24"/>
      <c r="Z160" s="23"/>
      <c r="AA160" s="23"/>
      <c r="AB160" s="23"/>
      <c r="AC160" s="23"/>
    </row>
    <row r="161" ht="32.25" customHeight="1">
      <c r="A161" s="27" t="s">
        <v>527</v>
      </c>
      <c r="B161" s="27" t="s">
        <v>528</v>
      </c>
      <c r="C161" s="27" t="s">
        <v>416</v>
      </c>
      <c r="D161" s="27" t="s">
        <v>409</v>
      </c>
      <c r="E161" s="27" t="s">
        <v>529</v>
      </c>
      <c r="F161" s="37"/>
      <c r="G161" s="27" t="s">
        <v>49</v>
      </c>
      <c r="H161" s="29">
        <v>45393.0</v>
      </c>
      <c r="I161" s="36"/>
      <c r="J161" s="29">
        <v>45700.0</v>
      </c>
      <c r="K161" s="30">
        <f t="shared" si="1"/>
        <v>307</v>
      </c>
      <c r="L161" s="27" t="s">
        <v>40</v>
      </c>
      <c r="M161" s="41"/>
      <c r="N161" s="33"/>
      <c r="O161" s="27" t="s">
        <v>81</v>
      </c>
      <c r="P161" s="27"/>
      <c r="Q161" s="41"/>
      <c r="R161" s="35"/>
      <c r="S161" s="36"/>
      <c r="T161" s="37"/>
      <c r="U161" s="37"/>
      <c r="V161" s="37"/>
      <c r="W161" s="37"/>
      <c r="X161" s="37"/>
      <c r="Y161" s="38"/>
      <c r="Z161" s="37"/>
      <c r="AA161" s="37"/>
      <c r="AB161" s="37"/>
      <c r="AC161" s="37"/>
    </row>
    <row r="162" ht="21.75" customHeight="1">
      <c r="A162" s="13" t="s">
        <v>530</v>
      </c>
      <c r="B162" s="13" t="s">
        <v>531</v>
      </c>
      <c r="C162" s="13" t="s">
        <v>408</v>
      </c>
      <c r="D162" s="13" t="s">
        <v>409</v>
      </c>
      <c r="E162" s="13" t="s">
        <v>532</v>
      </c>
      <c r="F162" s="23"/>
      <c r="G162" s="13" t="s">
        <v>533</v>
      </c>
      <c r="H162" s="15">
        <v>45677.0</v>
      </c>
      <c r="I162" s="22"/>
      <c r="J162" s="15">
        <v>45718.0</v>
      </c>
      <c r="K162" s="17">
        <f t="shared" si="1"/>
        <v>41</v>
      </c>
      <c r="L162" s="13" t="s">
        <v>64</v>
      </c>
      <c r="M162" s="18"/>
      <c r="N162" s="26"/>
      <c r="O162" s="13" t="s">
        <v>58</v>
      </c>
      <c r="P162" s="13"/>
      <c r="Q162" s="18"/>
      <c r="R162" s="21"/>
      <c r="S162" s="22"/>
      <c r="T162" s="23"/>
      <c r="U162" s="23"/>
      <c r="V162" s="23"/>
      <c r="W162" s="23"/>
      <c r="X162" s="23"/>
      <c r="Y162" s="24"/>
      <c r="Z162" s="23"/>
      <c r="AA162" s="23"/>
      <c r="AB162" s="23"/>
      <c r="AC162" s="23"/>
    </row>
    <row r="163" ht="53.25" customHeight="1">
      <c r="A163" s="27" t="s">
        <v>534</v>
      </c>
      <c r="B163" s="27" t="s">
        <v>535</v>
      </c>
      <c r="C163" s="27" t="s">
        <v>408</v>
      </c>
      <c r="D163" s="27" t="s">
        <v>409</v>
      </c>
      <c r="E163" s="27" t="s">
        <v>536</v>
      </c>
      <c r="F163" s="37"/>
      <c r="G163" s="27" t="s">
        <v>49</v>
      </c>
      <c r="H163" s="29">
        <v>45536.0</v>
      </c>
      <c r="I163" s="36"/>
      <c r="J163" s="29">
        <v>45713.0</v>
      </c>
      <c r="K163" s="30">
        <f t="shared" si="1"/>
        <v>177</v>
      </c>
      <c r="L163" s="27" t="s">
        <v>64</v>
      </c>
      <c r="M163" s="41"/>
      <c r="N163" s="33"/>
      <c r="O163" s="27" t="s">
        <v>257</v>
      </c>
      <c r="P163" s="27"/>
      <c r="Q163" s="41"/>
      <c r="R163" s="35"/>
      <c r="S163" s="36"/>
      <c r="T163" s="37"/>
      <c r="U163" s="37"/>
      <c r="V163" s="37"/>
      <c r="W163" s="37"/>
      <c r="X163" s="37"/>
      <c r="Y163" s="38"/>
      <c r="Z163" s="37"/>
      <c r="AA163" s="37"/>
      <c r="AB163" s="37"/>
      <c r="AC163" s="37"/>
    </row>
    <row r="164" ht="21.75" customHeight="1">
      <c r="A164" s="13" t="s">
        <v>537</v>
      </c>
      <c r="B164" s="13" t="s">
        <v>538</v>
      </c>
      <c r="C164" s="13" t="s">
        <v>416</v>
      </c>
      <c r="D164" s="13" t="s">
        <v>409</v>
      </c>
      <c r="E164" s="13" t="s">
        <v>539</v>
      </c>
      <c r="F164" s="23"/>
      <c r="G164" s="13" t="s">
        <v>49</v>
      </c>
      <c r="H164" s="15">
        <v>45697.0</v>
      </c>
      <c r="I164" s="22"/>
      <c r="J164" s="15">
        <v>45805.0</v>
      </c>
      <c r="K164" s="17">
        <f t="shared" si="1"/>
        <v>108</v>
      </c>
      <c r="L164" s="13" t="s">
        <v>64</v>
      </c>
      <c r="M164" s="18"/>
      <c r="N164" s="26"/>
      <c r="O164" s="13" t="s">
        <v>257</v>
      </c>
      <c r="P164" s="13"/>
      <c r="Q164" s="18"/>
      <c r="R164" s="21"/>
      <c r="S164" s="22"/>
      <c r="T164" s="23"/>
      <c r="U164" s="23"/>
      <c r="V164" s="23"/>
      <c r="W164" s="23"/>
      <c r="X164" s="23"/>
      <c r="Y164" s="24"/>
      <c r="Z164" s="23"/>
      <c r="AA164" s="23"/>
      <c r="AB164" s="23"/>
      <c r="AC164" s="23"/>
    </row>
    <row r="165" ht="21.75" customHeight="1">
      <c r="A165" s="27" t="s">
        <v>537</v>
      </c>
      <c r="B165" s="27" t="s">
        <v>538</v>
      </c>
      <c r="C165" s="27" t="s">
        <v>416</v>
      </c>
      <c r="D165" s="27" t="s">
        <v>409</v>
      </c>
      <c r="E165" s="27" t="s">
        <v>539</v>
      </c>
      <c r="F165" s="37"/>
      <c r="G165" s="27" t="s">
        <v>49</v>
      </c>
      <c r="H165" s="29">
        <v>45697.0</v>
      </c>
      <c r="I165" s="36"/>
      <c r="J165" s="29">
        <v>45805.0</v>
      </c>
      <c r="K165" s="30">
        <f t="shared" si="1"/>
        <v>108</v>
      </c>
      <c r="L165" s="27" t="s">
        <v>64</v>
      </c>
      <c r="M165" s="41"/>
      <c r="N165" s="33"/>
      <c r="O165" s="27" t="s">
        <v>257</v>
      </c>
      <c r="P165" s="27"/>
      <c r="Q165" s="41"/>
      <c r="R165" s="35"/>
      <c r="S165" s="36"/>
      <c r="T165" s="37"/>
      <c r="U165" s="37"/>
      <c r="V165" s="37"/>
      <c r="W165" s="37"/>
      <c r="X165" s="37"/>
      <c r="Y165" s="38"/>
      <c r="Z165" s="37"/>
      <c r="AA165" s="37"/>
      <c r="AB165" s="37"/>
      <c r="AC165" s="37"/>
    </row>
    <row r="166" ht="21.75" customHeight="1">
      <c r="A166" s="13" t="s">
        <v>540</v>
      </c>
      <c r="B166" s="13" t="s">
        <v>541</v>
      </c>
      <c r="C166" s="13" t="s">
        <v>416</v>
      </c>
      <c r="D166" s="13" t="s">
        <v>409</v>
      </c>
      <c r="E166" s="13" t="s">
        <v>542</v>
      </c>
      <c r="F166" s="23"/>
      <c r="G166" s="13" t="s">
        <v>399</v>
      </c>
      <c r="H166" s="15">
        <v>45722.0</v>
      </c>
      <c r="I166" s="22"/>
      <c r="J166" s="15">
        <v>46015.0</v>
      </c>
      <c r="K166" s="17">
        <f t="shared" si="1"/>
        <v>293</v>
      </c>
      <c r="L166" s="13" t="s">
        <v>40</v>
      </c>
      <c r="M166" s="18"/>
      <c r="N166" s="26"/>
      <c r="O166" s="13" t="s">
        <v>257</v>
      </c>
      <c r="P166" s="13"/>
      <c r="Q166" s="18"/>
      <c r="R166" s="21"/>
      <c r="S166" s="22"/>
      <c r="T166" s="23"/>
      <c r="U166" s="23"/>
      <c r="V166" s="23"/>
      <c r="W166" s="23"/>
      <c r="X166" s="23"/>
      <c r="Y166" s="24"/>
      <c r="Z166" s="23"/>
      <c r="AA166" s="23"/>
      <c r="AB166" s="23"/>
      <c r="AC166" s="23"/>
    </row>
    <row r="167" ht="32.25" customHeight="1">
      <c r="A167" s="27" t="s">
        <v>543</v>
      </c>
      <c r="B167" s="27" t="s">
        <v>544</v>
      </c>
      <c r="C167" s="27" t="s">
        <v>408</v>
      </c>
      <c r="D167" s="27" t="s">
        <v>409</v>
      </c>
      <c r="E167" s="27" t="s">
        <v>545</v>
      </c>
      <c r="F167" s="37"/>
      <c r="G167" s="27" t="s">
        <v>91</v>
      </c>
      <c r="H167" s="29">
        <v>45720.0</v>
      </c>
      <c r="I167" s="36"/>
      <c r="J167" s="29">
        <v>45961.0</v>
      </c>
      <c r="K167" s="30">
        <f t="shared" si="1"/>
        <v>241</v>
      </c>
      <c r="L167" s="27" t="s">
        <v>64</v>
      </c>
      <c r="M167" s="41"/>
      <c r="N167" s="33"/>
      <c r="O167" s="27" t="s">
        <v>257</v>
      </c>
      <c r="P167" s="27"/>
      <c r="Q167" s="41"/>
      <c r="R167" s="35"/>
      <c r="S167" s="36"/>
      <c r="T167" s="37"/>
      <c r="U167" s="37"/>
      <c r="V167" s="37"/>
      <c r="W167" s="37"/>
      <c r="X167" s="37"/>
      <c r="Y167" s="38"/>
      <c r="Z167" s="37"/>
      <c r="AA167" s="37"/>
      <c r="AB167" s="37"/>
      <c r="AC167" s="37"/>
    </row>
    <row r="168" ht="15.0" customHeight="1">
      <c r="A168" s="13" t="s">
        <v>546</v>
      </c>
      <c r="B168" s="13" t="s">
        <v>547</v>
      </c>
      <c r="C168" s="13" t="s">
        <v>408</v>
      </c>
      <c r="D168" s="13" t="s">
        <v>409</v>
      </c>
      <c r="E168" s="13" t="s">
        <v>548</v>
      </c>
      <c r="F168" s="23"/>
      <c r="G168" s="13" t="s">
        <v>91</v>
      </c>
      <c r="H168" s="15">
        <v>45750.0</v>
      </c>
      <c r="I168" s="22"/>
      <c r="J168" s="15">
        <v>45961.0</v>
      </c>
      <c r="K168" s="17">
        <f t="shared" si="1"/>
        <v>211</v>
      </c>
      <c r="L168" s="13" t="s">
        <v>64</v>
      </c>
      <c r="M168" s="18"/>
      <c r="N168" s="26"/>
      <c r="O168" s="13" t="s">
        <v>257</v>
      </c>
      <c r="P168" s="13"/>
      <c r="Q168" s="18"/>
      <c r="R168" s="21"/>
      <c r="S168" s="22"/>
      <c r="T168" s="23"/>
      <c r="U168" s="23"/>
      <c r="V168" s="23"/>
      <c r="W168" s="23"/>
      <c r="X168" s="23"/>
      <c r="Y168" s="24"/>
      <c r="Z168" s="23"/>
      <c r="AA168" s="23"/>
      <c r="AB168" s="23"/>
      <c r="AC168" s="23"/>
    </row>
    <row r="169" ht="21.75" customHeight="1">
      <c r="A169" s="27" t="s">
        <v>549</v>
      </c>
      <c r="B169" s="27" t="s">
        <v>550</v>
      </c>
      <c r="C169" s="27" t="s">
        <v>416</v>
      </c>
      <c r="D169" s="27" t="s">
        <v>409</v>
      </c>
      <c r="E169" s="27" t="s">
        <v>551</v>
      </c>
      <c r="F169" s="37"/>
      <c r="G169" s="27" t="s">
        <v>399</v>
      </c>
      <c r="H169" s="29">
        <v>45703.0</v>
      </c>
      <c r="I169" s="36"/>
      <c r="J169" s="29">
        <v>45915.0</v>
      </c>
      <c r="K169" s="30">
        <f t="shared" si="1"/>
        <v>212</v>
      </c>
      <c r="L169" s="27" t="s">
        <v>40</v>
      </c>
      <c r="M169" s="41"/>
      <c r="N169" s="33"/>
      <c r="O169" s="27" t="s">
        <v>257</v>
      </c>
      <c r="P169" s="27"/>
      <c r="Q169" s="41"/>
      <c r="R169" s="35"/>
      <c r="S169" s="36"/>
      <c r="T169" s="37"/>
      <c r="U169" s="37"/>
      <c r="V169" s="37"/>
      <c r="W169" s="37"/>
      <c r="X169" s="37"/>
      <c r="Y169" s="38"/>
      <c r="Z169" s="37"/>
      <c r="AA169" s="37"/>
      <c r="AB169" s="37"/>
      <c r="AC169" s="37"/>
    </row>
    <row r="170" ht="21.75" customHeight="1">
      <c r="A170" s="13" t="s">
        <v>552</v>
      </c>
      <c r="B170" s="13" t="s">
        <v>553</v>
      </c>
      <c r="C170" s="13" t="s">
        <v>408</v>
      </c>
      <c r="D170" s="13" t="s">
        <v>409</v>
      </c>
      <c r="E170" s="13" t="s">
        <v>548</v>
      </c>
      <c r="F170" s="23"/>
      <c r="G170" s="13" t="s">
        <v>91</v>
      </c>
      <c r="H170" s="15">
        <v>45720.0</v>
      </c>
      <c r="I170" s="22"/>
      <c r="J170" s="15">
        <v>45976.0</v>
      </c>
      <c r="K170" s="17">
        <f t="shared" si="1"/>
        <v>256</v>
      </c>
      <c r="L170" s="13" t="s">
        <v>64</v>
      </c>
      <c r="M170" s="18"/>
      <c r="N170" s="26"/>
      <c r="O170" s="13" t="s">
        <v>257</v>
      </c>
      <c r="P170" s="13"/>
      <c r="Q170" s="18"/>
      <c r="R170" s="21"/>
      <c r="S170" s="22"/>
      <c r="T170" s="23"/>
      <c r="U170" s="23"/>
      <c r="V170" s="23"/>
      <c r="W170" s="23"/>
      <c r="X170" s="23"/>
      <c r="Y170" s="24"/>
      <c r="Z170" s="23"/>
      <c r="AA170" s="23"/>
      <c r="AB170" s="23"/>
      <c r="AC170" s="23"/>
    </row>
    <row r="171" ht="32.25" customHeight="1">
      <c r="A171" s="27" t="s">
        <v>554</v>
      </c>
      <c r="B171" s="27" t="s">
        <v>555</v>
      </c>
      <c r="C171" s="27" t="s">
        <v>84</v>
      </c>
      <c r="D171" s="27" t="s">
        <v>409</v>
      </c>
      <c r="E171" s="27" t="s">
        <v>556</v>
      </c>
      <c r="F171" s="28" t="s">
        <v>86</v>
      </c>
      <c r="G171" s="27" t="s">
        <v>38</v>
      </c>
      <c r="H171" s="29">
        <v>45723.0</v>
      </c>
      <c r="I171" s="36"/>
      <c r="J171" s="29">
        <v>46015.0</v>
      </c>
      <c r="K171" s="30">
        <f t="shared" si="1"/>
        <v>292</v>
      </c>
      <c r="L171" s="27" t="s">
        <v>56</v>
      </c>
      <c r="M171" s="41"/>
      <c r="N171" s="33"/>
      <c r="O171" s="27" t="s">
        <v>257</v>
      </c>
      <c r="P171" s="27"/>
      <c r="Q171" s="41"/>
      <c r="R171" s="35"/>
      <c r="S171" s="36"/>
      <c r="T171" s="37"/>
      <c r="U171" s="37"/>
      <c r="V171" s="37"/>
      <c r="W171" s="37"/>
      <c r="X171" s="37"/>
      <c r="Y171" s="38"/>
      <c r="Z171" s="37"/>
      <c r="AA171" s="37"/>
      <c r="AB171" s="37"/>
      <c r="AC171" s="37"/>
    </row>
    <row r="172" ht="21.75" customHeight="1">
      <c r="A172" s="13" t="s">
        <v>557</v>
      </c>
      <c r="B172" s="13" t="s">
        <v>558</v>
      </c>
      <c r="C172" s="13" t="s">
        <v>408</v>
      </c>
      <c r="D172" s="13" t="s">
        <v>409</v>
      </c>
      <c r="E172" s="13" t="s">
        <v>559</v>
      </c>
      <c r="F172" s="23"/>
      <c r="G172" s="13" t="s">
        <v>38</v>
      </c>
      <c r="H172" s="15">
        <v>45691.0</v>
      </c>
      <c r="I172" s="22"/>
      <c r="J172" s="15">
        <v>45838.0</v>
      </c>
      <c r="K172" s="17">
        <f t="shared" si="1"/>
        <v>147</v>
      </c>
      <c r="L172" s="13" t="s">
        <v>40</v>
      </c>
      <c r="M172" s="18"/>
      <c r="N172" s="26"/>
      <c r="O172" s="13" t="s">
        <v>41</v>
      </c>
      <c r="P172" s="13"/>
      <c r="Q172" s="18"/>
      <c r="R172" s="21"/>
      <c r="S172" s="22"/>
      <c r="T172" s="23"/>
      <c r="U172" s="23"/>
      <c r="V172" s="23"/>
      <c r="W172" s="23"/>
      <c r="X172" s="23"/>
      <c r="Y172" s="24"/>
      <c r="Z172" s="23"/>
      <c r="AA172" s="23"/>
      <c r="AB172" s="23"/>
      <c r="AC172" s="23"/>
    </row>
    <row r="173" ht="21.75" customHeight="1">
      <c r="A173" s="27" t="s">
        <v>560</v>
      </c>
      <c r="B173" s="27" t="s">
        <v>561</v>
      </c>
      <c r="C173" s="27" t="s">
        <v>408</v>
      </c>
      <c r="D173" s="27" t="s">
        <v>409</v>
      </c>
      <c r="E173" s="27" t="s">
        <v>562</v>
      </c>
      <c r="F173" s="37"/>
      <c r="G173" s="27" t="s">
        <v>75</v>
      </c>
      <c r="H173" s="29">
        <v>45628.0</v>
      </c>
      <c r="I173" s="36"/>
      <c r="J173" s="29">
        <v>45915.0</v>
      </c>
      <c r="K173" s="30">
        <f t="shared" si="1"/>
        <v>287</v>
      </c>
      <c r="L173" s="27" t="s">
        <v>64</v>
      </c>
      <c r="M173" s="41"/>
      <c r="N173" s="33"/>
      <c r="O173" s="27" t="s">
        <v>257</v>
      </c>
      <c r="P173" s="27"/>
      <c r="Q173" s="41"/>
      <c r="R173" s="35"/>
      <c r="S173" s="36"/>
      <c r="T173" s="37"/>
      <c r="U173" s="37"/>
      <c r="V173" s="37"/>
      <c r="W173" s="37"/>
      <c r="X173" s="37"/>
      <c r="Y173" s="38"/>
      <c r="Z173" s="37"/>
      <c r="AA173" s="37"/>
      <c r="AB173" s="37"/>
      <c r="AC173" s="37"/>
    </row>
    <row r="174" ht="21.75" customHeight="1">
      <c r="A174" s="13" t="s">
        <v>563</v>
      </c>
      <c r="B174" s="13" t="s">
        <v>564</v>
      </c>
      <c r="C174" s="13" t="s">
        <v>416</v>
      </c>
      <c r="D174" s="13" t="s">
        <v>409</v>
      </c>
      <c r="E174" s="13" t="s">
        <v>565</v>
      </c>
      <c r="F174" s="23"/>
      <c r="G174" s="13" t="s">
        <v>399</v>
      </c>
      <c r="H174" s="15">
        <v>45722.0</v>
      </c>
      <c r="I174" s="22"/>
      <c r="J174" s="15">
        <v>46014.0</v>
      </c>
      <c r="K174" s="17">
        <f t="shared" si="1"/>
        <v>292</v>
      </c>
      <c r="L174" s="13" t="s">
        <v>40</v>
      </c>
      <c r="M174" s="18"/>
      <c r="N174" s="26"/>
      <c r="O174" s="13" t="s">
        <v>257</v>
      </c>
      <c r="P174" s="13"/>
      <c r="Q174" s="18"/>
      <c r="R174" s="21"/>
      <c r="S174" s="22"/>
      <c r="T174" s="23"/>
      <c r="U174" s="23"/>
      <c r="V174" s="23"/>
      <c r="W174" s="23"/>
      <c r="X174" s="23"/>
      <c r="Y174" s="24"/>
      <c r="Z174" s="23"/>
      <c r="AA174" s="23"/>
      <c r="AB174" s="23"/>
      <c r="AC174" s="23"/>
    </row>
    <row r="175" ht="21.75" customHeight="1">
      <c r="A175" s="27" t="s">
        <v>566</v>
      </c>
      <c r="B175" s="27" t="s">
        <v>567</v>
      </c>
      <c r="C175" s="27" t="s">
        <v>408</v>
      </c>
      <c r="D175" s="27" t="s">
        <v>409</v>
      </c>
      <c r="E175" s="27" t="s">
        <v>562</v>
      </c>
      <c r="F175" s="37"/>
      <c r="G175" s="27" t="s">
        <v>49</v>
      </c>
      <c r="H175" s="29">
        <v>45649.0</v>
      </c>
      <c r="I175" s="36"/>
      <c r="J175" s="29">
        <v>45754.0</v>
      </c>
      <c r="K175" s="30">
        <f t="shared" si="1"/>
        <v>105</v>
      </c>
      <c r="L175" s="27" t="s">
        <v>64</v>
      </c>
      <c r="M175" s="41"/>
      <c r="N175" s="33"/>
      <c r="O175" s="27" t="s">
        <v>257</v>
      </c>
      <c r="P175" s="27"/>
      <c r="Q175" s="41"/>
      <c r="R175" s="35"/>
      <c r="S175" s="36"/>
      <c r="T175" s="37"/>
      <c r="U175" s="37"/>
      <c r="V175" s="37"/>
      <c r="W175" s="37"/>
      <c r="X175" s="37"/>
      <c r="Y175" s="38"/>
      <c r="Z175" s="37"/>
      <c r="AA175" s="37"/>
      <c r="AB175" s="37"/>
      <c r="AC175" s="37"/>
    </row>
    <row r="176" ht="32.25" customHeight="1">
      <c r="A176" s="13" t="s">
        <v>568</v>
      </c>
      <c r="B176" s="13" t="s">
        <v>569</v>
      </c>
      <c r="C176" s="13" t="s">
        <v>408</v>
      </c>
      <c r="D176" s="13" t="s">
        <v>409</v>
      </c>
      <c r="E176" s="13" t="s">
        <v>570</v>
      </c>
      <c r="F176" s="23"/>
      <c r="G176" s="13" t="s">
        <v>399</v>
      </c>
      <c r="H176" s="15">
        <v>45644.0</v>
      </c>
      <c r="I176" s="22"/>
      <c r="J176" s="15">
        <v>45757.0</v>
      </c>
      <c r="K176" s="17">
        <f t="shared" si="1"/>
        <v>113</v>
      </c>
      <c r="L176" s="13" t="s">
        <v>40</v>
      </c>
      <c r="M176" s="18"/>
      <c r="N176" s="26"/>
      <c r="O176" s="13" t="s">
        <v>257</v>
      </c>
      <c r="P176" s="13"/>
      <c r="Q176" s="18"/>
      <c r="R176" s="21"/>
      <c r="S176" s="22"/>
      <c r="T176" s="23"/>
      <c r="U176" s="23"/>
      <c r="V176" s="23"/>
      <c r="W176" s="23"/>
      <c r="X176" s="23"/>
      <c r="Y176" s="24"/>
      <c r="Z176" s="23"/>
      <c r="AA176" s="23"/>
      <c r="AB176" s="23"/>
      <c r="AC176" s="23"/>
    </row>
    <row r="177" ht="21.75" customHeight="1">
      <c r="A177" s="27" t="s">
        <v>571</v>
      </c>
      <c r="B177" s="27" t="s">
        <v>572</v>
      </c>
      <c r="C177" s="27" t="s">
        <v>408</v>
      </c>
      <c r="D177" s="27" t="s">
        <v>409</v>
      </c>
      <c r="E177" s="27" t="s">
        <v>573</v>
      </c>
      <c r="F177" s="37"/>
      <c r="G177" s="27" t="s">
        <v>75</v>
      </c>
      <c r="H177" s="29">
        <v>45644.0</v>
      </c>
      <c r="I177" s="36"/>
      <c r="J177" s="29">
        <v>45700.0</v>
      </c>
      <c r="K177" s="30">
        <f t="shared" si="1"/>
        <v>56</v>
      </c>
      <c r="L177" s="27" t="s">
        <v>64</v>
      </c>
      <c r="M177" s="41"/>
      <c r="N177" s="33"/>
      <c r="O177" s="27" t="s">
        <v>257</v>
      </c>
      <c r="P177" s="27"/>
      <c r="Q177" s="41"/>
      <c r="R177" s="35"/>
      <c r="S177" s="36"/>
      <c r="T177" s="37"/>
      <c r="U177" s="37"/>
      <c r="V177" s="37"/>
      <c r="W177" s="37"/>
      <c r="X177" s="37"/>
      <c r="Y177" s="38"/>
      <c r="Z177" s="37"/>
      <c r="AA177" s="37"/>
      <c r="AB177" s="37"/>
      <c r="AC177" s="37"/>
    </row>
    <row r="178" ht="21.75" customHeight="1">
      <c r="A178" s="13" t="s">
        <v>574</v>
      </c>
      <c r="B178" s="20" t="s">
        <v>575</v>
      </c>
      <c r="C178" s="13" t="s">
        <v>408</v>
      </c>
      <c r="D178" s="13" t="s">
        <v>409</v>
      </c>
      <c r="E178" s="13" t="s">
        <v>562</v>
      </c>
      <c r="F178" s="23"/>
      <c r="G178" s="20" t="s">
        <v>38</v>
      </c>
      <c r="H178" s="15">
        <v>45715.0</v>
      </c>
      <c r="I178" s="22"/>
      <c r="J178" s="15">
        <v>45792.0</v>
      </c>
      <c r="K178" s="17">
        <f t="shared" si="1"/>
        <v>77</v>
      </c>
      <c r="L178" s="13" t="s">
        <v>40</v>
      </c>
      <c r="M178" s="18"/>
      <c r="N178" s="26"/>
      <c r="O178" s="13" t="s">
        <v>257</v>
      </c>
      <c r="P178" s="13"/>
      <c r="Q178" s="18"/>
      <c r="R178" s="21"/>
      <c r="S178" s="22"/>
      <c r="T178" s="23"/>
      <c r="U178" s="23"/>
      <c r="V178" s="23"/>
      <c r="W178" s="23"/>
      <c r="X178" s="23"/>
      <c r="Y178" s="24"/>
      <c r="Z178" s="23"/>
      <c r="AA178" s="23"/>
      <c r="AB178" s="23"/>
      <c r="AC178" s="23"/>
    </row>
    <row r="179" ht="32.25" customHeight="1">
      <c r="A179" s="27" t="s">
        <v>576</v>
      </c>
      <c r="B179" s="27" t="s">
        <v>577</v>
      </c>
      <c r="C179" s="27" t="s">
        <v>408</v>
      </c>
      <c r="D179" s="27" t="s">
        <v>409</v>
      </c>
      <c r="E179" s="27" t="s">
        <v>578</v>
      </c>
      <c r="F179" s="37"/>
      <c r="G179" s="27" t="s">
        <v>75</v>
      </c>
      <c r="H179" s="29">
        <v>45516.0</v>
      </c>
      <c r="I179" s="36"/>
      <c r="J179" s="29">
        <v>45626.0</v>
      </c>
      <c r="K179" s="30">
        <f t="shared" si="1"/>
        <v>110</v>
      </c>
      <c r="L179" s="27" t="s">
        <v>64</v>
      </c>
      <c r="M179" s="41"/>
      <c r="N179" s="33"/>
      <c r="O179" s="27" t="s">
        <v>257</v>
      </c>
      <c r="P179" s="27"/>
      <c r="Q179" s="41"/>
      <c r="R179" s="35"/>
      <c r="S179" s="36"/>
      <c r="T179" s="37"/>
      <c r="U179" s="28"/>
      <c r="V179" s="37"/>
      <c r="W179" s="37"/>
      <c r="X179" s="37"/>
      <c r="Y179" s="38"/>
      <c r="Z179" s="37"/>
      <c r="AA179" s="37"/>
      <c r="AB179" s="37"/>
      <c r="AC179" s="37"/>
    </row>
    <row r="180" ht="32.25" customHeight="1">
      <c r="A180" s="13" t="s">
        <v>579</v>
      </c>
      <c r="B180" s="13" t="s">
        <v>580</v>
      </c>
      <c r="C180" s="13" t="s">
        <v>416</v>
      </c>
      <c r="D180" s="13" t="s">
        <v>409</v>
      </c>
      <c r="E180" s="13" t="s">
        <v>580</v>
      </c>
      <c r="F180" s="23"/>
      <c r="G180" s="13" t="s">
        <v>399</v>
      </c>
      <c r="H180" s="15">
        <v>45710.0</v>
      </c>
      <c r="I180" s="22"/>
      <c r="J180" s="15">
        <v>45869.0</v>
      </c>
      <c r="K180" s="17">
        <f t="shared" si="1"/>
        <v>159</v>
      </c>
      <c r="L180" s="13" t="s">
        <v>64</v>
      </c>
      <c r="M180" s="18"/>
      <c r="N180" s="26"/>
      <c r="O180" s="13" t="s">
        <v>257</v>
      </c>
      <c r="P180" s="13"/>
      <c r="Q180" s="18"/>
      <c r="R180" s="21"/>
      <c r="S180" s="22"/>
      <c r="T180" s="23"/>
      <c r="U180" s="23"/>
      <c r="V180" s="23"/>
      <c r="W180" s="23"/>
      <c r="X180" s="23"/>
      <c r="Y180" s="24"/>
      <c r="Z180" s="23"/>
      <c r="AA180" s="23"/>
      <c r="AB180" s="23"/>
      <c r="AC180" s="23"/>
    </row>
    <row r="181" ht="21.75" customHeight="1">
      <c r="A181" s="27" t="s">
        <v>581</v>
      </c>
      <c r="B181" s="27" t="s">
        <v>580</v>
      </c>
      <c r="C181" s="27" t="s">
        <v>416</v>
      </c>
      <c r="D181" s="27" t="s">
        <v>409</v>
      </c>
      <c r="E181" s="27" t="s">
        <v>580</v>
      </c>
      <c r="F181" s="37"/>
      <c r="G181" s="27" t="s">
        <v>399</v>
      </c>
      <c r="H181" s="29">
        <v>45718.0</v>
      </c>
      <c r="I181" s="36"/>
      <c r="J181" s="29">
        <v>45899.0</v>
      </c>
      <c r="K181" s="30">
        <f t="shared" si="1"/>
        <v>181</v>
      </c>
      <c r="L181" s="27" t="s">
        <v>64</v>
      </c>
      <c r="M181" s="41"/>
      <c r="N181" s="33"/>
      <c r="O181" s="27" t="s">
        <v>257</v>
      </c>
      <c r="P181" s="27"/>
      <c r="Q181" s="41"/>
      <c r="R181" s="35"/>
      <c r="S181" s="36"/>
      <c r="T181" s="37"/>
      <c r="U181" s="37"/>
      <c r="V181" s="37"/>
      <c r="W181" s="37"/>
      <c r="X181" s="37"/>
      <c r="Y181" s="38"/>
      <c r="Z181" s="37"/>
      <c r="AA181" s="37"/>
      <c r="AB181" s="37"/>
      <c r="AC181" s="37"/>
    </row>
    <row r="182" ht="42.75" customHeight="1">
      <c r="A182" s="13" t="s">
        <v>582</v>
      </c>
      <c r="B182" s="13" t="s">
        <v>583</v>
      </c>
      <c r="C182" s="13" t="s">
        <v>416</v>
      </c>
      <c r="D182" s="13" t="s">
        <v>409</v>
      </c>
      <c r="E182" s="13" t="s">
        <v>584</v>
      </c>
      <c r="F182" s="14" t="s">
        <v>37</v>
      </c>
      <c r="G182" s="13" t="s">
        <v>91</v>
      </c>
      <c r="H182" s="15">
        <v>45715.0</v>
      </c>
      <c r="I182" s="22"/>
      <c r="J182" s="15">
        <v>45774.0</v>
      </c>
      <c r="K182" s="17">
        <f t="shared" si="1"/>
        <v>59</v>
      </c>
      <c r="L182" s="13" t="s">
        <v>40</v>
      </c>
      <c r="M182" s="18"/>
      <c r="N182" s="26"/>
      <c r="O182" s="20" t="s">
        <v>41</v>
      </c>
      <c r="P182" s="13"/>
      <c r="Q182" s="18"/>
      <c r="R182" s="21"/>
      <c r="S182" s="22"/>
      <c r="T182" s="23"/>
      <c r="U182" s="23"/>
      <c r="V182" s="23"/>
      <c r="W182" s="23"/>
      <c r="X182" s="23"/>
      <c r="Y182" s="24"/>
      <c r="Z182" s="23"/>
      <c r="AA182" s="23"/>
      <c r="AB182" s="23"/>
      <c r="AC182" s="23"/>
    </row>
    <row r="183" ht="32.25" customHeight="1">
      <c r="A183" s="27" t="s">
        <v>585</v>
      </c>
      <c r="B183" s="27" t="s">
        <v>586</v>
      </c>
      <c r="C183" s="27" t="s">
        <v>408</v>
      </c>
      <c r="D183" s="27" t="s">
        <v>409</v>
      </c>
      <c r="E183" s="27" t="s">
        <v>587</v>
      </c>
      <c r="F183" s="37"/>
      <c r="G183" s="27" t="s">
        <v>38</v>
      </c>
      <c r="H183" s="29">
        <v>45548.0</v>
      </c>
      <c r="I183" s="36"/>
      <c r="J183" s="29">
        <v>45930.0</v>
      </c>
      <c r="K183" s="30">
        <f t="shared" si="1"/>
        <v>382</v>
      </c>
      <c r="L183" s="27" t="s">
        <v>40</v>
      </c>
      <c r="M183" s="41"/>
      <c r="N183" s="33"/>
      <c r="O183" s="27" t="s">
        <v>81</v>
      </c>
      <c r="P183" s="27"/>
      <c r="Q183" s="41"/>
      <c r="R183" s="35"/>
      <c r="S183" s="36"/>
      <c r="T183" s="37"/>
      <c r="U183" s="37"/>
      <c r="V183" s="37"/>
      <c r="W183" s="37"/>
      <c r="X183" s="37"/>
      <c r="Y183" s="38"/>
      <c r="Z183" s="37"/>
      <c r="AA183" s="37"/>
      <c r="AB183" s="37"/>
      <c r="AC183" s="37"/>
    </row>
    <row r="184" ht="45.0" customHeight="1">
      <c r="A184" s="53" t="s">
        <v>588</v>
      </c>
      <c r="B184" s="54" t="s">
        <v>589</v>
      </c>
      <c r="C184" s="31" t="s">
        <v>416</v>
      </c>
      <c r="D184" s="31" t="s">
        <v>409</v>
      </c>
      <c r="E184" s="31" t="s">
        <v>590</v>
      </c>
      <c r="F184" s="37"/>
      <c r="G184" s="31" t="s">
        <v>49</v>
      </c>
      <c r="H184" s="50" t="s">
        <v>591</v>
      </c>
      <c r="I184" s="36"/>
      <c r="J184" s="31" t="s">
        <v>592</v>
      </c>
      <c r="K184" s="30"/>
      <c r="L184" s="31" t="s">
        <v>40</v>
      </c>
      <c r="M184" s="41"/>
      <c r="N184" s="33"/>
      <c r="O184" s="31" t="s">
        <v>51</v>
      </c>
      <c r="P184" s="31" t="s">
        <v>42</v>
      </c>
      <c r="Q184" s="41"/>
      <c r="R184" s="35"/>
      <c r="S184" s="36"/>
      <c r="T184" s="37"/>
      <c r="U184" s="37"/>
      <c r="V184" s="37"/>
      <c r="W184" s="37"/>
      <c r="X184" s="37"/>
      <c r="Y184" s="38"/>
      <c r="Z184" s="37"/>
      <c r="AA184" s="37"/>
      <c r="AB184" s="37"/>
      <c r="AC184" s="37"/>
    </row>
    <row r="185" ht="21.75" customHeight="1">
      <c r="A185" s="13" t="s">
        <v>593</v>
      </c>
      <c r="B185" s="13" t="s">
        <v>594</v>
      </c>
      <c r="C185" s="13" t="s">
        <v>416</v>
      </c>
      <c r="D185" s="13" t="s">
        <v>409</v>
      </c>
      <c r="E185" s="13" t="s">
        <v>595</v>
      </c>
      <c r="F185" s="23"/>
      <c r="G185" s="13" t="s">
        <v>38</v>
      </c>
      <c r="H185" s="15">
        <v>45711.0</v>
      </c>
      <c r="I185" s="22"/>
      <c r="J185" s="15">
        <v>45893.0</v>
      </c>
      <c r="K185" s="17">
        <f t="shared" ref="K185:K279" si="2">IF(AND(H185&lt;&gt;"",J185&lt;&gt;""),J185-H185,"")</f>
        <v>182</v>
      </c>
      <c r="L185" s="13" t="s">
        <v>40</v>
      </c>
      <c r="M185" s="18"/>
      <c r="N185" s="26"/>
      <c r="O185" s="13" t="s">
        <v>51</v>
      </c>
      <c r="P185" s="13"/>
      <c r="Q185" s="18"/>
      <c r="R185" s="21"/>
      <c r="S185" s="22"/>
      <c r="T185" s="23"/>
      <c r="U185" s="23"/>
      <c r="V185" s="23"/>
      <c r="W185" s="23"/>
      <c r="X185" s="23"/>
      <c r="Y185" s="24"/>
      <c r="Z185" s="23"/>
      <c r="AA185" s="23"/>
      <c r="AB185" s="23"/>
      <c r="AC185" s="23"/>
    </row>
    <row r="186" ht="21.75" customHeight="1">
      <c r="A186" s="27" t="s">
        <v>596</v>
      </c>
      <c r="B186" s="27" t="s">
        <v>597</v>
      </c>
      <c r="C186" s="27" t="s">
        <v>416</v>
      </c>
      <c r="D186" s="27" t="s">
        <v>409</v>
      </c>
      <c r="E186" s="27" t="s">
        <v>598</v>
      </c>
      <c r="F186" s="37"/>
      <c r="G186" s="27" t="s">
        <v>49</v>
      </c>
      <c r="H186" s="29">
        <v>45618.0</v>
      </c>
      <c r="I186" s="36"/>
      <c r="J186" s="29">
        <v>45731.0</v>
      </c>
      <c r="K186" s="30">
        <f t="shared" si="2"/>
        <v>113</v>
      </c>
      <c r="L186" s="27" t="s">
        <v>64</v>
      </c>
      <c r="M186" s="41"/>
      <c r="N186" s="33"/>
      <c r="O186" s="27" t="s">
        <v>257</v>
      </c>
      <c r="P186" s="27"/>
      <c r="Q186" s="41"/>
      <c r="R186" s="35"/>
      <c r="S186" s="36"/>
      <c r="T186" s="37"/>
      <c r="U186" s="37"/>
      <c r="V186" s="37"/>
      <c r="W186" s="37"/>
      <c r="X186" s="37"/>
      <c r="Y186" s="38"/>
      <c r="Z186" s="37"/>
      <c r="AA186" s="37"/>
      <c r="AB186" s="37"/>
      <c r="AC186" s="37"/>
    </row>
    <row r="187" ht="21.75" customHeight="1">
      <c r="A187" s="13" t="s">
        <v>599</v>
      </c>
      <c r="B187" s="20" t="s">
        <v>522</v>
      </c>
      <c r="C187" s="13" t="s">
        <v>408</v>
      </c>
      <c r="D187" s="13" t="s">
        <v>409</v>
      </c>
      <c r="E187" s="13" t="s">
        <v>600</v>
      </c>
      <c r="F187" s="23"/>
      <c r="G187" s="13" t="s">
        <v>38</v>
      </c>
      <c r="H187" s="15">
        <v>45631.0</v>
      </c>
      <c r="I187" s="22"/>
      <c r="J187" s="15">
        <v>45839.0</v>
      </c>
      <c r="K187" s="17">
        <f t="shared" si="2"/>
        <v>208</v>
      </c>
      <c r="L187" s="13" t="s">
        <v>40</v>
      </c>
      <c r="M187" s="18"/>
      <c r="N187" s="26"/>
      <c r="O187" s="13" t="s">
        <v>51</v>
      </c>
      <c r="P187" s="13"/>
      <c r="Q187" s="18"/>
      <c r="R187" s="21"/>
      <c r="S187" s="22"/>
      <c r="T187" s="23"/>
      <c r="U187" s="23"/>
      <c r="V187" s="23"/>
      <c r="W187" s="23"/>
      <c r="X187" s="23"/>
      <c r="Y187" s="24"/>
      <c r="Z187" s="23"/>
      <c r="AA187" s="23"/>
      <c r="AB187" s="23"/>
      <c r="AC187" s="23"/>
    </row>
    <row r="188" ht="32.25" customHeight="1">
      <c r="A188" s="27" t="s">
        <v>601</v>
      </c>
      <c r="B188" s="31" t="s">
        <v>522</v>
      </c>
      <c r="C188" s="27" t="s">
        <v>408</v>
      </c>
      <c r="D188" s="27" t="s">
        <v>409</v>
      </c>
      <c r="E188" s="27" t="s">
        <v>600</v>
      </c>
      <c r="F188" s="37"/>
      <c r="G188" s="27" t="s">
        <v>49</v>
      </c>
      <c r="H188" s="29">
        <v>45568.0</v>
      </c>
      <c r="I188" s="36"/>
      <c r="J188" s="29">
        <v>45778.0</v>
      </c>
      <c r="K188" s="30">
        <f t="shared" si="2"/>
        <v>210</v>
      </c>
      <c r="L188" s="27" t="s">
        <v>40</v>
      </c>
      <c r="M188" s="41"/>
      <c r="N188" s="33"/>
      <c r="O188" s="27" t="s">
        <v>81</v>
      </c>
      <c r="P188" s="27"/>
      <c r="Q188" s="41"/>
      <c r="R188" s="35"/>
      <c r="S188" s="36"/>
      <c r="T188" s="37"/>
      <c r="U188" s="37"/>
      <c r="V188" s="37"/>
      <c r="W188" s="37"/>
      <c r="X188" s="37"/>
      <c r="Y188" s="38"/>
      <c r="Z188" s="37"/>
      <c r="AA188" s="37"/>
      <c r="AB188" s="37"/>
      <c r="AC188" s="37"/>
    </row>
    <row r="189" ht="21.75" customHeight="1">
      <c r="A189" s="13" t="s">
        <v>557</v>
      </c>
      <c r="B189" s="13" t="s">
        <v>602</v>
      </c>
      <c r="C189" s="13" t="s">
        <v>408</v>
      </c>
      <c r="D189" s="13" t="s">
        <v>409</v>
      </c>
      <c r="E189" s="13" t="s">
        <v>559</v>
      </c>
      <c r="F189" s="23"/>
      <c r="G189" s="13" t="s">
        <v>364</v>
      </c>
      <c r="H189" s="15">
        <v>45691.0</v>
      </c>
      <c r="I189" s="22"/>
      <c r="J189" s="15">
        <v>45798.0</v>
      </c>
      <c r="K189" s="17">
        <f t="shared" si="2"/>
        <v>107</v>
      </c>
      <c r="L189" s="13" t="s">
        <v>40</v>
      </c>
      <c r="M189" s="18"/>
      <c r="N189" s="26"/>
      <c r="O189" s="13" t="s">
        <v>41</v>
      </c>
      <c r="P189" s="13"/>
      <c r="Q189" s="18"/>
      <c r="R189" s="21"/>
      <c r="S189" s="22"/>
      <c r="T189" s="23"/>
      <c r="U189" s="23"/>
      <c r="V189" s="23"/>
      <c r="W189" s="23"/>
      <c r="X189" s="23"/>
      <c r="Y189" s="24"/>
      <c r="Z189" s="23"/>
      <c r="AA189" s="23"/>
      <c r="AB189" s="23"/>
      <c r="AC189" s="23"/>
    </row>
    <row r="190" ht="21.75" customHeight="1">
      <c r="A190" s="27" t="s">
        <v>603</v>
      </c>
      <c r="B190" s="27" t="s">
        <v>602</v>
      </c>
      <c r="C190" s="27" t="s">
        <v>408</v>
      </c>
      <c r="D190" s="27" t="s">
        <v>409</v>
      </c>
      <c r="E190" s="27" t="s">
        <v>559</v>
      </c>
      <c r="F190" s="37"/>
      <c r="G190" s="27" t="s">
        <v>399</v>
      </c>
      <c r="H190" s="29">
        <v>45689.0</v>
      </c>
      <c r="I190" s="36"/>
      <c r="J190" s="29">
        <v>45888.0</v>
      </c>
      <c r="K190" s="30">
        <f t="shared" si="2"/>
        <v>199</v>
      </c>
      <c r="L190" s="27" t="s">
        <v>40</v>
      </c>
      <c r="M190" s="41"/>
      <c r="N190" s="33"/>
      <c r="O190" s="27" t="s">
        <v>81</v>
      </c>
      <c r="P190" s="27" t="s">
        <v>42</v>
      </c>
      <c r="Q190" s="41"/>
      <c r="R190" s="35"/>
      <c r="S190" s="36"/>
      <c r="T190" s="37"/>
      <c r="U190" s="37"/>
      <c r="V190" s="37"/>
      <c r="W190" s="37"/>
      <c r="X190" s="37"/>
      <c r="Y190" s="38"/>
      <c r="Z190" s="37"/>
      <c r="AA190" s="37"/>
      <c r="AB190" s="37"/>
      <c r="AC190" s="37"/>
    </row>
    <row r="191" ht="21.75" customHeight="1">
      <c r="A191" s="13" t="s">
        <v>604</v>
      </c>
      <c r="B191" s="13" t="s">
        <v>605</v>
      </c>
      <c r="C191" s="13" t="s">
        <v>408</v>
      </c>
      <c r="D191" s="13" t="s">
        <v>409</v>
      </c>
      <c r="E191" s="13" t="s">
        <v>606</v>
      </c>
      <c r="F191" s="23"/>
      <c r="G191" s="13" t="s">
        <v>91</v>
      </c>
      <c r="H191" s="15">
        <v>45731.0</v>
      </c>
      <c r="I191" s="22"/>
      <c r="J191" s="15">
        <v>45827.0</v>
      </c>
      <c r="K191" s="17">
        <f t="shared" si="2"/>
        <v>96</v>
      </c>
      <c r="L191" s="13" t="s">
        <v>64</v>
      </c>
      <c r="M191" s="18"/>
      <c r="N191" s="26"/>
      <c r="O191" s="13" t="s">
        <v>41</v>
      </c>
      <c r="P191" s="13"/>
      <c r="Q191" s="18"/>
      <c r="R191" s="21"/>
      <c r="S191" s="22"/>
      <c r="T191" s="23"/>
      <c r="U191" s="23"/>
      <c r="V191" s="23"/>
      <c r="W191" s="23"/>
      <c r="X191" s="23"/>
      <c r="Y191" s="24"/>
      <c r="Z191" s="23"/>
      <c r="AA191" s="23"/>
      <c r="AB191" s="23"/>
      <c r="AC191" s="23"/>
    </row>
    <row r="192" ht="32.25" customHeight="1">
      <c r="A192" s="27" t="s">
        <v>607</v>
      </c>
      <c r="B192" s="27" t="s">
        <v>608</v>
      </c>
      <c r="C192" s="27" t="s">
        <v>416</v>
      </c>
      <c r="D192" s="27" t="s">
        <v>409</v>
      </c>
      <c r="E192" s="27" t="s">
        <v>493</v>
      </c>
      <c r="F192" s="37"/>
      <c r="G192" s="27" t="s">
        <v>75</v>
      </c>
      <c r="H192" s="29">
        <v>45586.0</v>
      </c>
      <c r="I192" s="36"/>
      <c r="J192" s="29">
        <v>45731.0</v>
      </c>
      <c r="K192" s="30">
        <f t="shared" si="2"/>
        <v>145</v>
      </c>
      <c r="L192" s="27" t="s">
        <v>64</v>
      </c>
      <c r="M192" s="41"/>
      <c r="N192" s="33"/>
      <c r="O192" s="27" t="s">
        <v>257</v>
      </c>
      <c r="P192" s="27"/>
      <c r="Q192" s="41"/>
      <c r="R192" s="35"/>
      <c r="S192" s="36"/>
      <c r="T192" s="37"/>
      <c r="U192" s="37"/>
      <c r="V192" s="37"/>
      <c r="W192" s="37"/>
      <c r="X192" s="37"/>
      <c r="Y192" s="38"/>
      <c r="Z192" s="37"/>
      <c r="AA192" s="37"/>
      <c r="AB192" s="37"/>
      <c r="AC192" s="37"/>
    </row>
    <row r="193" ht="21.75" customHeight="1">
      <c r="A193" s="13" t="s">
        <v>609</v>
      </c>
      <c r="B193" s="13" t="s">
        <v>610</v>
      </c>
      <c r="C193" s="13" t="s">
        <v>416</v>
      </c>
      <c r="D193" s="13" t="s">
        <v>409</v>
      </c>
      <c r="E193" s="13" t="s">
        <v>493</v>
      </c>
      <c r="F193" s="23"/>
      <c r="G193" s="13" t="s">
        <v>75</v>
      </c>
      <c r="H193" s="15">
        <v>45586.0</v>
      </c>
      <c r="I193" s="22"/>
      <c r="J193" s="15">
        <v>45731.0</v>
      </c>
      <c r="K193" s="17">
        <f t="shared" si="2"/>
        <v>145</v>
      </c>
      <c r="L193" s="13" t="s">
        <v>64</v>
      </c>
      <c r="M193" s="18"/>
      <c r="N193" s="26"/>
      <c r="O193" s="13" t="s">
        <v>257</v>
      </c>
      <c r="P193" s="13"/>
      <c r="Q193" s="18"/>
      <c r="R193" s="21"/>
      <c r="S193" s="22"/>
      <c r="T193" s="23"/>
      <c r="U193" s="23"/>
      <c r="V193" s="23"/>
      <c r="W193" s="23"/>
      <c r="X193" s="23"/>
      <c r="Y193" s="24"/>
      <c r="Z193" s="23"/>
      <c r="AA193" s="23"/>
      <c r="AB193" s="23"/>
      <c r="AC193" s="23"/>
    </row>
    <row r="194" ht="21.75" customHeight="1">
      <c r="A194" s="27" t="s">
        <v>611</v>
      </c>
      <c r="B194" s="27" t="s">
        <v>612</v>
      </c>
      <c r="C194" s="27" t="s">
        <v>408</v>
      </c>
      <c r="D194" s="27" t="s">
        <v>409</v>
      </c>
      <c r="E194" s="27" t="s">
        <v>613</v>
      </c>
      <c r="F194" s="37"/>
      <c r="G194" s="27" t="s">
        <v>75</v>
      </c>
      <c r="H194" s="29">
        <v>45675.0</v>
      </c>
      <c r="I194" s="36"/>
      <c r="J194" s="29">
        <v>45749.0</v>
      </c>
      <c r="K194" s="30">
        <f t="shared" si="2"/>
        <v>74</v>
      </c>
      <c r="L194" s="27" t="s">
        <v>64</v>
      </c>
      <c r="M194" s="41"/>
      <c r="N194" s="33"/>
      <c r="O194" s="27"/>
      <c r="P194" s="27" t="s">
        <v>42</v>
      </c>
      <c r="Q194" s="41"/>
      <c r="R194" s="35"/>
      <c r="S194" s="36"/>
      <c r="T194" s="37"/>
      <c r="U194" s="37"/>
      <c r="V194" s="37"/>
      <c r="W194" s="37"/>
      <c r="X194" s="37"/>
      <c r="Y194" s="38"/>
      <c r="Z194" s="37"/>
      <c r="AA194" s="37"/>
      <c r="AB194" s="37"/>
      <c r="AC194" s="37"/>
    </row>
    <row r="195" ht="32.25" customHeight="1">
      <c r="A195" s="13" t="s">
        <v>614</v>
      </c>
      <c r="B195" s="13" t="s">
        <v>615</v>
      </c>
      <c r="C195" s="13" t="s">
        <v>408</v>
      </c>
      <c r="D195" s="13" t="s">
        <v>409</v>
      </c>
      <c r="E195" s="13" t="s">
        <v>613</v>
      </c>
      <c r="F195" s="23"/>
      <c r="G195" s="13" t="s">
        <v>75</v>
      </c>
      <c r="H195" s="15">
        <v>45721.0</v>
      </c>
      <c r="I195" s="22"/>
      <c r="J195" s="15">
        <v>45899.0</v>
      </c>
      <c r="K195" s="17">
        <f t="shared" si="2"/>
        <v>178</v>
      </c>
      <c r="L195" s="13" t="s">
        <v>40</v>
      </c>
      <c r="M195" s="18"/>
      <c r="N195" s="26"/>
      <c r="O195" s="13" t="s">
        <v>41</v>
      </c>
      <c r="P195" s="13"/>
      <c r="Q195" s="18"/>
      <c r="R195" s="21"/>
      <c r="S195" s="22"/>
      <c r="T195" s="23"/>
      <c r="U195" s="23"/>
      <c r="V195" s="23"/>
      <c r="W195" s="23"/>
      <c r="X195" s="23"/>
      <c r="Y195" s="24"/>
      <c r="Z195" s="23"/>
      <c r="AA195" s="23"/>
      <c r="AB195" s="23"/>
      <c r="AC195" s="23"/>
    </row>
    <row r="196" ht="32.25" customHeight="1">
      <c r="A196" s="27" t="s">
        <v>616</v>
      </c>
      <c r="B196" s="27" t="s">
        <v>617</v>
      </c>
      <c r="C196" s="27" t="s">
        <v>408</v>
      </c>
      <c r="D196" s="27" t="s">
        <v>409</v>
      </c>
      <c r="E196" s="27" t="s">
        <v>618</v>
      </c>
      <c r="F196" s="37"/>
      <c r="G196" s="27" t="s">
        <v>75</v>
      </c>
      <c r="H196" s="29">
        <v>45709.0</v>
      </c>
      <c r="I196" s="36"/>
      <c r="J196" s="29">
        <v>45747.0</v>
      </c>
      <c r="K196" s="30">
        <f t="shared" si="2"/>
        <v>38</v>
      </c>
      <c r="L196" s="27" t="s">
        <v>64</v>
      </c>
      <c r="M196" s="41"/>
      <c r="N196" s="33"/>
      <c r="O196" s="27" t="s">
        <v>51</v>
      </c>
      <c r="P196" s="27"/>
      <c r="Q196" s="41"/>
      <c r="R196" s="35"/>
      <c r="S196" s="36"/>
      <c r="T196" s="37"/>
      <c r="U196" s="37"/>
      <c r="V196" s="37"/>
      <c r="W196" s="37"/>
      <c r="X196" s="37"/>
      <c r="Y196" s="38"/>
      <c r="Z196" s="37"/>
      <c r="AA196" s="37"/>
      <c r="AB196" s="37"/>
      <c r="AC196" s="37"/>
    </row>
    <row r="197" ht="21.75" customHeight="1">
      <c r="A197" s="13" t="s">
        <v>619</v>
      </c>
      <c r="B197" s="13" t="s">
        <v>620</v>
      </c>
      <c r="C197" s="13" t="s">
        <v>408</v>
      </c>
      <c r="D197" s="13" t="s">
        <v>409</v>
      </c>
      <c r="E197" s="13" t="s">
        <v>618</v>
      </c>
      <c r="F197" s="23"/>
      <c r="G197" s="13" t="s">
        <v>49</v>
      </c>
      <c r="H197" s="15">
        <v>45677.0</v>
      </c>
      <c r="I197" s="22"/>
      <c r="J197" s="15">
        <v>45721.0</v>
      </c>
      <c r="K197" s="17">
        <f t="shared" si="2"/>
        <v>44</v>
      </c>
      <c r="L197" s="13" t="s">
        <v>40</v>
      </c>
      <c r="M197" s="18"/>
      <c r="N197" s="26"/>
      <c r="O197" s="13"/>
      <c r="P197" s="13" t="s">
        <v>42</v>
      </c>
      <c r="Q197" s="18"/>
      <c r="R197" s="21"/>
      <c r="S197" s="22"/>
      <c r="T197" s="23"/>
      <c r="U197" s="23"/>
      <c r="V197" s="23"/>
      <c r="W197" s="23"/>
      <c r="X197" s="23"/>
      <c r="Y197" s="24"/>
      <c r="Z197" s="23"/>
      <c r="AA197" s="23"/>
      <c r="AB197" s="23"/>
      <c r="AC197" s="23"/>
    </row>
    <row r="198" ht="15.0" customHeight="1">
      <c r="A198" s="27" t="s">
        <v>621</v>
      </c>
      <c r="B198" s="27" t="s">
        <v>618</v>
      </c>
      <c r="C198" s="27" t="s">
        <v>408</v>
      </c>
      <c r="D198" s="27" t="s">
        <v>409</v>
      </c>
      <c r="E198" s="27" t="s">
        <v>618</v>
      </c>
      <c r="F198" s="37"/>
      <c r="G198" s="27" t="s">
        <v>49</v>
      </c>
      <c r="H198" s="29">
        <v>45627.0</v>
      </c>
      <c r="I198" s="36"/>
      <c r="J198" s="29">
        <v>45727.0</v>
      </c>
      <c r="K198" s="30">
        <f t="shared" si="2"/>
        <v>100</v>
      </c>
      <c r="L198" s="27" t="s">
        <v>40</v>
      </c>
      <c r="M198" s="41"/>
      <c r="N198" s="33"/>
      <c r="O198" s="27"/>
      <c r="P198" s="27" t="s">
        <v>42</v>
      </c>
      <c r="Q198" s="41"/>
      <c r="R198" s="35"/>
      <c r="S198" s="36"/>
      <c r="T198" s="37"/>
      <c r="U198" s="37"/>
      <c r="V198" s="37"/>
      <c r="W198" s="37"/>
      <c r="X198" s="37"/>
      <c r="Y198" s="38"/>
      <c r="Z198" s="37"/>
      <c r="AA198" s="37"/>
      <c r="AB198" s="37"/>
      <c r="AC198" s="37"/>
    </row>
    <row r="199" ht="21.75" customHeight="1">
      <c r="A199" s="13" t="s">
        <v>622</v>
      </c>
      <c r="B199" s="13" t="s">
        <v>623</v>
      </c>
      <c r="C199" s="13" t="s">
        <v>416</v>
      </c>
      <c r="D199" s="13" t="s">
        <v>409</v>
      </c>
      <c r="E199" s="13" t="s">
        <v>505</v>
      </c>
      <c r="F199" s="14" t="s">
        <v>37</v>
      </c>
      <c r="G199" s="13" t="s">
        <v>38</v>
      </c>
      <c r="H199" s="15">
        <v>45751.0</v>
      </c>
      <c r="I199" s="22"/>
      <c r="J199" s="15">
        <v>46022.0</v>
      </c>
      <c r="K199" s="17">
        <f t="shared" si="2"/>
        <v>271</v>
      </c>
      <c r="L199" s="13" t="s">
        <v>40</v>
      </c>
      <c r="M199" s="18"/>
      <c r="N199" s="26"/>
      <c r="O199" s="13" t="s">
        <v>41</v>
      </c>
      <c r="P199" s="13"/>
      <c r="Q199" s="18"/>
      <c r="R199" s="21"/>
      <c r="S199" s="22"/>
      <c r="T199" s="23"/>
      <c r="U199" s="23"/>
      <c r="V199" s="23"/>
      <c r="W199" s="23"/>
      <c r="X199" s="23"/>
      <c r="Y199" s="24"/>
      <c r="Z199" s="23"/>
      <c r="AA199" s="23"/>
      <c r="AB199" s="23"/>
      <c r="AC199" s="23"/>
    </row>
    <row r="200" ht="32.25" customHeight="1">
      <c r="A200" s="13" t="s">
        <v>624</v>
      </c>
      <c r="B200" s="13" t="s">
        <v>625</v>
      </c>
      <c r="C200" s="13" t="s">
        <v>416</v>
      </c>
      <c r="D200" s="13" t="s">
        <v>409</v>
      </c>
      <c r="E200" s="13" t="s">
        <v>626</v>
      </c>
      <c r="F200" s="23"/>
      <c r="G200" s="13" t="s">
        <v>91</v>
      </c>
      <c r="H200" s="15">
        <v>45752.0</v>
      </c>
      <c r="I200" s="22"/>
      <c r="J200" s="15">
        <v>45782.0</v>
      </c>
      <c r="K200" s="17">
        <f t="shared" si="2"/>
        <v>30</v>
      </c>
      <c r="L200" s="13" t="s">
        <v>64</v>
      </c>
      <c r="M200" s="18"/>
      <c r="N200" s="26"/>
      <c r="O200" s="13" t="s">
        <v>41</v>
      </c>
      <c r="P200" s="13"/>
      <c r="Q200" s="18"/>
      <c r="R200" s="21"/>
      <c r="S200" s="22"/>
      <c r="T200" s="23"/>
      <c r="U200" s="23"/>
      <c r="V200" s="23"/>
      <c r="W200" s="23"/>
      <c r="X200" s="23"/>
      <c r="Y200" s="24"/>
      <c r="Z200" s="23"/>
      <c r="AA200" s="23"/>
      <c r="AB200" s="23"/>
      <c r="AC200" s="23"/>
    </row>
    <row r="201" ht="21.75" customHeight="1">
      <c r="A201" s="27" t="s">
        <v>627</v>
      </c>
      <c r="B201" s="27" t="s">
        <v>628</v>
      </c>
      <c r="C201" s="27" t="s">
        <v>629</v>
      </c>
      <c r="D201" s="27" t="s">
        <v>409</v>
      </c>
      <c r="E201" s="27" t="s">
        <v>630</v>
      </c>
      <c r="F201" s="37"/>
      <c r="G201" s="27" t="s">
        <v>399</v>
      </c>
      <c r="H201" s="29">
        <v>45745.0</v>
      </c>
      <c r="I201" s="36"/>
      <c r="J201" s="29">
        <v>45777.0</v>
      </c>
      <c r="K201" s="30">
        <f t="shared" si="2"/>
        <v>32</v>
      </c>
      <c r="L201" s="27" t="s">
        <v>40</v>
      </c>
      <c r="M201" s="41"/>
      <c r="N201" s="33"/>
      <c r="O201" s="27" t="s">
        <v>58</v>
      </c>
      <c r="P201" s="27"/>
      <c r="Q201" s="41"/>
      <c r="R201" s="35"/>
      <c r="S201" s="36"/>
      <c r="T201" s="37"/>
      <c r="U201" s="37"/>
      <c r="V201" s="37"/>
      <c r="W201" s="37"/>
      <c r="X201" s="37"/>
      <c r="Y201" s="38"/>
      <c r="Z201" s="37"/>
      <c r="AA201" s="37"/>
      <c r="AB201" s="37"/>
      <c r="AC201" s="37"/>
    </row>
    <row r="202" ht="32.25" customHeight="1">
      <c r="A202" s="13" t="s">
        <v>631</v>
      </c>
      <c r="B202" s="13" t="s">
        <v>632</v>
      </c>
      <c r="C202" s="13" t="s">
        <v>629</v>
      </c>
      <c r="D202" s="13" t="s">
        <v>409</v>
      </c>
      <c r="E202" s="13" t="s">
        <v>633</v>
      </c>
      <c r="F202" s="23"/>
      <c r="G202" s="13" t="s">
        <v>399</v>
      </c>
      <c r="H202" s="15">
        <v>45736.0</v>
      </c>
      <c r="I202" s="22"/>
      <c r="J202" s="15">
        <v>45838.0</v>
      </c>
      <c r="K202" s="17">
        <f t="shared" si="2"/>
        <v>102</v>
      </c>
      <c r="L202" s="13" t="s">
        <v>64</v>
      </c>
      <c r="M202" s="18"/>
      <c r="N202" s="26"/>
      <c r="O202" s="13" t="s">
        <v>58</v>
      </c>
      <c r="P202" s="13"/>
      <c r="Q202" s="18"/>
      <c r="R202" s="21"/>
      <c r="S202" s="22"/>
      <c r="T202" s="23"/>
      <c r="U202" s="23"/>
      <c r="V202" s="23"/>
      <c r="W202" s="23"/>
      <c r="X202" s="23"/>
      <c r="Y202" s="24"/>
      <c r="Z202" s="23"/>
      <c r="AA202" s="23"/>
      <c r="AB202" s="23"/>
      <c r="AC202" s="23"/>
    </row>
    <row r="203" ht="21.75" customHeight="1">
      <c r="A203" s="27" t="s">
        <v>634</v>
      </c>
      <c r="B203" s="27" t="s">
        <v>635</v>
      </c>
      <c r="C203" s="27" t="s">
        <v>416</v>
      </c>
      <c r="D203" s="27" t="s">
        <v>409</v>
      </c>
      <c r="E203" s="27" t="s">
        <v>422</v>
      </c>
      <c r="F203" s="37"/>
      <c r="G203" s="31" t="s">
        <v>49</v>
      </c>
      <c r="H203" s="29">
        <v>45719.0</v>
      </c>
      <c r="I203" s="36"/>
      <c r="J203" s="50">
        <v>46024.0</v>
      </c>
      <c r="K203" s="30">
        <f t="shared" si="2"/>
        <v>305</v>
      </c>
      <c r="L203" s="27" t="s">
        <v>40</v>
      </c>
      <c r="M203" s="32" t="s">
        <v>636</v>
      </c>
      <c r="N203" s="55">
        <v>0.8</v>
      </c>
      <c r="O203" s="27" t="s">
        <v>41</v>
      </c>
      <c r="P203" s="31" t="s">
        <v>42</v>
      </c>
      <c r="Q203" s="32" t="s">
        <v>637</v>
      </c>
      <c r="R203" s="43" t="s">
        <v>638</v>
      </c>
      <c r="S203" s="36"/>
      <c r="T203" s="37"/>
      <c r="U203" s="37"/>
      <c r="V203" s="37"/>
      <c r="W203" s="37"/>
      <c r="X203" s="37"/>
      <c r="Y203" s="38"/>
      <c r="Z203" s="37"/>
      <c r="AA203" s="37"/>
      <c r="AB203" s="37"/>
      <c r="AC203" s="37"/>
    </row>
    <row r="204" ht="21.75" customHeight="1">
      <c r="A204" s="13" t="s">
        <v>639</v>
      </c>
      <c r="B204" s="13" t="s">
        <v>640</v>
      </c>
      <c r="C204" s="13" t="s">
        <v>416</v>
      </c>
      <c r="D204" s="13" t="s">
        <v>409</v>
      </c>
      <c r="E204" s="13" t="s">
        <v>422</v>
      </c>
      <c r="F204" s="23"/>
      <c r="G204" s="20" t="s">
        <v>364</v>
      </c>
      <c r="H204" s="15">
        <v>46076.0</v>
      </c>
      <c r="I204" s="22"/>
      <c r="J204" s="15">
        <v>46387.0</v>
      </c>
      <c r="K204" s="17">
        <f t="shared" si="2"/>
        <v>311</v>
      </c>
      <c r="L204" s="13" t="s">
        <v>40</v>
      </c>
      <c r="M204" s="18"/>
      <c r="N204" s="26"/>
      <c r="O204" s="13" t="s">
        <v>81</v>
      </c>
      <c r="P204" s="13"/>
      <c r="Q204" s="18"/>
      <c r="R204" s="21"/>
      <c r="S204" s="22"/>
      <c r="T204" s="23"/>
      <c r="U204" s="23"/>
      <c r="V204" s="23"/>
      <c r="W204" s="23"/>
      <c r="X204" s="23"/>
      <c r="Y204" s="24"/>
      <c r="Z204" s="23"/>
      <c r="AA204" s="23"/>
      <c r="AB204" s="23"/>
      <c r="AC204" s="23"/>
    </row>
    <row r="205" ht="21.75" customHeight="1">
      <c r="A205" s="27" t="s">
        <v>641</v>
      </c>
      <c r="B205" s="27" t="s">
        <v>642</v>
      </c>
      <c r="C205" s="27" t="s">
        <v>408</v>
      </c>
      <c r="D205" s="27" t="s">
        <v>409</v>
      </c>
      <c r="E205" s="27" t="s">
        <v>643</v>
      </c>
      <c r="F205" s="37"/>
      <c r="G205" s="27" t="s">
        <v>91</v>
      </c>
      <c r="H205" s="29">
        <v>45749.0</v>
      </c>
      <c r="I205" s="36"/>
      <c r="J205" s="29">
        <v>45792.0</v>
      </c>
      <c r="K205" s="30">
        <f t="shared" si="2"/>
        <v>43</v>
      </c>
      <c r="L205" s="27" t="s">
        <v>64</v>
      </c>
      <c r="M205" s="41"/>
      <c r="N205" s="33"/>
      <c r="O205" s="27" t="s">
        <v>257</v>
      </c>
      <c r="P205" s="27"/>
      <c r="Q205" s="41"/>
      <c r="R205" s="35"/>
      <c r="S205" s="36"/>
      <c r="T205" s="37"/>
      <c r="U205" s="37"/>
      <c r="V205" s="37"/>
      <c r="W205" s="37"/>
      <c r="X205" s="37"/>
      <c r="Y205" s="38"/>
      <c r="Z205" s="37"/>
      <c r="AA205" s="37"/>
      <c r="AB205" s="37"/>
      <c r="AC205" s="37"/>
    </row>
    <row r="206" ht="15.0" customHeight="1">
      <c r="A206" s="13" t="s">
        <v>644</v>
      </c>
      <c r="B206" s="13" t="s">
        <v>645</v>
      </c>
      <c r="C206" s="13" t="s">
        <v>408</v>
      </c>
      <c r="D206" s="13" t="s">
        <v>409</v>
      </c>
      <c r="E206" s="13" t="s">
        <v>643</v>
      </c>
      <c r="F206" s="23"/>
      <c r="G206" s="13" t="s">
        <v>91</v>
      </c>
      <c r="H206" s="15">
        <v>45749.0</v>
      </c>
      <c r="I206" s="22"/>
      <c r="J206" s="15">
        <v>45787.0</v>
      </c>
      <c r="K206" s="17">
        <f t="shared" si="2"/>
        <v>38</v>
      </c>
      <c r="L206" s="13" t="s">
        <v>64</v>
      </c>
      <c r="M206" s="18"/>
      <c r="N206" s="26"/>
      <c r="O206" s="13" t="s">
        <v>257</v>
      </c>
      <c r="P206" s="13"/>
      <c r="Q206" s="18"/>
      <c r="R206" s="21"/>
      <c r="S206" s="22"/>
      <c r="T206" s="23"/>
      <c r="U206" s="23"/>
      <c r="V206" s="23"/>
      <c r="W206" s="23"/>
      <c r="X206" s="23"/>
      <c r="Y206" s="24"/>
      <c r="Z206" s="23"/>
      <c r="AA206" s="23"/>
      <c r="AB206" s="23"/>
      <c r="AC206" s="23"/>
    </row>
    <row r="207" ht="32.25" customHeight="1">
      <c r="A207" s="27" t="s">
        <v>646</v>
      </c>
      <c r="B207" s="27" t="s">
        <v>647</v>
      </c>
      <c r="C207" s="27" t="s">
        <v>408</v>
      </c>
      <c r="D207" s="27" t="s">
        <v>409</v>
      </c>
      <c r="E207" s="27" t="s">
        <v>648</v>
      </c>
      <c r="F207" s="37"/>
      <c r="G207" s="27" t="s">
        <v>49</v>
      </c>
      <c r="H207" s="29">
        <v>45496.0</v>
      </c>
      <c r="I207" s="36"/>
      <c r="J207" s="29">
        <v>45657.0</v>
      </c>
      <c r="K207" s="30">
        <f t="shared" si="2"/>
        <v>161</v>
      </c>
      <c r="L207" s="27" t="s">
        <v>40</v>
      </c>
      <c r="M207" s="41"/>
      <c r="N207" s="33"/>
      <c r="O207" s="27" t="s">
        <v>41</v>
      </c>
      <c r="P207" s="27"/>
      <c r="Q207" s="41"/>
      <c r="R207" s="35"/>
      <c r="S207" s="36"/>
      <c r="T207" s="37"/>
      <c r="U207" s="37"/>
      <c r="V207" s="37"/>
      <c r="W207" s="37"/>
      <c r="X207" s="37"/>
      <c r="Y207" s="38"/>
      <c r="Z207" s="37"/>
      <c r="AA207" s="37"/>
      <c r="AB207" s="37"/>
      <c r="AC207" s="37"/>
    </row>
    <row r="208" ht="21.75" customHeight="1">
      <c r="A208" s="13" t="s">
        <v>649</v>
      </c>
      <c r="B208" s="13" t="s">
        <v>650</v>
      </c>
      <c r="C208" s="13" t="s">
        <v>408</v>
      </c>
      <c r="D208" s="13" t="s">
        <v>409</v>
      </c>
      <c r="E208" s="13" t="s">
        <v>643</v>
      </c>
      <c r="F208" s="23"/>
      <c r="G208" s="13" t="s">
        <v>75</v>
      </c>
      <c r="H208" s="15">
        <v>45718.0</v>
      </c>
      <c r="I208" s="22"/>
      <c r="J208" s="15">
        <v>45749.0</v>
      </c>
      <c r="K208" s="17">
        <f t="shared" si="2"/>
        <v>31</v>
      </c>
      <c r="L208" s="13" t="s">
        <v>64</v>
      </c>
      <c r="M208" s="18"/>
      <c r="N208" s="26"/>
      <c r="O208" s="13" t="s">
        <v>257</v>
      </c>
      <c r="P208" s="13"/>
      <c r="Q208" s="18"/>
      <c r="R208" s="21"/>
      <c r="S208" s="22"/>
      <c r="T208" s="23"/>
      <c r="U208" s="23"/>
      <c r="V208" s="23"/>
      <c r="W208" s="23"/>
      <c r="X208" s="23"/>
      <c r="Y208" s="24"/>
      <c r="Z208" s="23"/>
      <c r="AA208" s="23"/>
      <c r="AB208" s="23"/>
      <c r="AC208" s="23"/>
    </row>
    <row r="209" ht="42.75" customHeight="1">
      <c r="A209" s="27" t="s">
        <v>651</v>
      </c>
      <c r="B209" s="27" t="s">
        <v>652</v>
      </c>
      <c r="C209" s="27" t="s">
        <v>408</v>
      </c>
      <c r="D209" s="27" t="s">
        <v>409</v>
      </c>
      <c r="E209" s="27" t="s">
        <v>653</v>
      </c>
      <c r="F209" s="37"/>
      <c r="G209" s="27" t="s">
        <v>91</v>
      </c>
      <c r="H209" s="29">
        <v>45628.0</v>
      </c>
      <c r="I209" s="36"/>
      <c r="J209" s="29">
        <v>45815.0</v>
      </c>
      <c r="K209" s="30">
        <f t="shared" si="2"/>
        <v>187</v>
      </c>
      <c r="L209" s="27" t="s">
        <v>64</v>
      </c>
      <c r="M209" s="41"/>
      <c r="N209" s="33"/>
      <c r="O209" s="27" t="s">
        <v>257</v>
      </c>
      <c r="P209" s="27"/>
      <c r="Q209" s="41"/>
      <c r="R209" s="35"/>
      <c r="S209" s="36"/>
      <c r="T209" s="37"/>
      <c r="U209" s="37"/>
      <c r="V209" s="37"/>
      <c r="W209" s="37"/>
      <c r="X209" s="37"/>
      <c r="Y209" s="38"/>
      <c r="Z209" s="37"/>
      <c r="AA209" s="37"/>
      <c r="AB209" s="37"/>
      <c r="AC209" s="37"/>
    </row>
    <row r="210" ht="32.25" customHeight="1">
      <c r="A210" s="13" t="s">
        <v>654</v>
      </c>
      <c r="B210" s="13" t="s">
        <v>655</v>
      </c>
      <c r="C210" s="13" t="s">
        <v>408</v>
      </c>
      <c r="D210" s="13" t="s">
        <v>409</v>
      </c>
      <c r="E210" s="13" t="s">
        <v>656</v>
      </c>
      <c r="F210" s="14" t="s">
        <v>97</v>
      </c>
      <c r="G210" s="20" t="s">
        <v>49</v>
      </c>
      <c r="H210" s="15">
        <v>45757.0</v>
      </c>
      <c r="I210" s="22"/>
      <c r="J210" s="15">
        <v>45879.0</v>
      </c>
      <c r="K210" s="17">
        <f t="shared" si="2"/>
        <v>122</v>
      </c>
      <c r="L210" s="13" t="s">
        <v>64</v>
      </c>
      <c r="M210" s="25" t="s">
        <v>657</v>
      </c>
      <c r="N210" s="26"/>
      <c r="O210" s="13" t="s">
        <v>257</v>
      </c>
      <c r="P210" s="13" t="s">
        <v>42</v>
      </c>
      <c r="Q210" s="51" t="s">
        <v>658</v>
      </c>
      <c r="R210" s="21"/>
      <c r="S210" s="22"/>
      <c r="T210" s="23"/>
      <c r="U210" s="14">
        <v>2.0</v>
      </c>
      <c r="V210" s="23"/>
      <c r="W210" s="23"/>
      <c r="X210" s="14" t="s">
        <v>45</v>
      </c>
      <c r="Y210" s="24"/>
      <c r="Z210" s="23"/>
      <c r="AA210" s="14" t="s">
        <v>461</v>
      </c>
      <c r="AB210" s="23"/>
      <c r="AC210" s="14" t="s">
        <v>659</v>
      </c>
    </row>
    <row r="211" ht="21.75" customHeight="1">
      <c r="A211" s="27" t="s">
        <v>660</v>
      </c>
      <c r="B211" s="27" t="s">
        <v>661</v>
      </c>
      <c r="C211" s="27" t="s">
        <v>408</v>
      </c>
      <c r="D211" s="27" t="s">
        <v>409</v>
      </c>
      <c r="E211" s="27" t="s">
        <v>662</v>
      </c>
      <c r="F211" s="28" t="s">
        <v>97</v>
      </c>
      <c r="G211" s="27" t="s">
        <v>75</v>
      </c>
      <c r="H211" s="29">
        <v>45635.0</v>
      </c>
      <c r="I211" s="36"/>
      <c r="J211" s="29">
        <v>45930.0</v>
      </c>
      <c r="K211" s="30">
        <f t="shared" si="2"/>
        <v>295</v>
      </c>
      <c r="L211" s="31" t="s">
        <v>64</v>
      </c>
      <c r="M211" s="41"/>
      <c r="N211" s="33"/>
      <c r="O211" s="27"/>
      <c r="P211" s="31" t="s">
        <v>42</v>
      </c>
      <c r="Q211" s="41"/>
      <c r="R211" s="35"/>
      <c r="S211" s="36"/>
      <c r="T211" s="37"/>
      <c r="U211" s="37"/>
      <c r="V211" s="37"/>
      <c r="W211" s="37"/>
      <c r="X211" s="37"/>
      <c r="Y211" s="38"/>
      <c r="Z211" s="37"/>
      <c r="AA211" s="37"/>
      <c r="AB211" s="37"/>
      <c r="AC211" s="37"/>
    </row>
    <row r="212" ht="42.75" customHeight="1">
      <c r="A212" s="13" t="s">
        <v>663</v>
      </c>
      <c r="B212" s="13" t="s">
        <v>661</v>
      </c>
      <c r="C212" s="13" t="s">
        <v>408</v>
      </c>
      <c r="D212" s="13" t="s">
        <v>409</v>
      </c>
      <c r="E212" s="13" t="s">
        <v>662</v>
      </c>
      <c r="F212" s="14" t="s">
        <v>97</v>
      </c>
      <c r="G212" s="13" t="s">
        <v>91</v>
      </c>
      <c r="H212" s="15">
        <v>45745.0</v>
      </c>
      <c r="I212" s="22"/>
      <c r="J212" s="15">
        <v>45900.0</v>
      </c>
      <c r="K212" s="17">
        <f t="shared" si="2"/>
        <v>155</v>
      </c>
      <c r="L212" s="13" t="s">
        <v>40</v>
      </c>
      <c r="M212" s="18"/>
      <c r="N212" s="26"/>
      <c r="O212" s="13" t="s">
        <v>81</v>
      </c>
      <c r="P212" s="13"/>
      <c r="Q212" s="18"/>
      <c r="R212" s="21"/>
      <c r="S212" s="22"/>
      <c r="T212" s="23"/>
      <c r="U212" s="23"/>
      <c r="V212" s="23"/>
      <c r="W212" s="23"/>
      <c r="X212" s="14" t="s">
        <v>45</v>
      </c>
      <c r="Y212" s="24"/>
      <c r="Z212" s="23"/>
      <c r="AA212" s="14" t="s">
        <v>502</v>
      </c>
      <c r="AB212" s="23"/>
      <c r="AC212" s="14" t="s">
        <v>664</v>
      </c>
    </row>
    <row r="213" ht="21.75" customHeight="1">
      <c r="A213" s="27" t="s">
        <v>665</v>
      </c>
      <c r="B213" s="27" t="s">
        <v>666</v>
      </c>
      <c r="C213" s="27" t="s">
        <v>408</v>
      </c>
      <c r="D213" s="27" t="s">
        <v>409</v>
      </c>
      <c r="E213" s="27" t="s">
        <v>667</v>
      </c>
      <c r="F213" s="37"/>
      <c r="G213" s="27" t="s">
        <v>399</v>
      </c>
      <c r="H213" s="29">
        <v>45719.0</v>
      </c>
      <c r="I213" s="36"/>
      <c r="J213" s="29">
        <v>45808.0</v>
      </c>
      <c r="K213" s="30">
        <f t="shared" si="2"/>
        <v>89</v>
      </c>
      <c r="L213" s="27" t="s">
        <v>40</v>
      </c>
      <c r="M213" s="41"/>
      <c r="N213" s="33"/>
      <c r="O213" s="27" t="s">
        <v>257</v>
      </c>
      <c r="P213" s="27"/>
      <c r="Q213" s="41"/>
      <c r="R213" s="35"/>
      <c r="S213" s="36"/>
      <c r="T213" s="37"/>
      <c r="U213" s="37"/>
      <c r="V213" s="37"/>
      <c r="W213" s="37"/>
      <c r="X213" s="37"/>
      <c r="Y213" s="38"/>
      <c r="Z213" s="37"/>
      <c r="AA213" s="37"/>
      <c r="AB213" s="37"/>
      <c r="AC213" s="37"/>
    </row>
    <row r="214" ht="32.25" customHeight="1">
      <c r="A214" s="27" t="s">
        <v>668</v>
      </c>
      <c r="B214" s="27" t="s">
        <v>669</v>
      </c>
      <c r="C214" s="27" t="s">
        <v>84</v>
      </c>
      <c r="D214" s="27" t="s">
        <v>35</v>
      </c>
      <c r="E214" s="27" t="s">
        <v>670</v>
      </c>
      <c r="F214" s="37"/>
      <c r="G214" s="27" t="s">
        <v>38</v>
      </c>
      <c r="H214" s="29">
        <v>45698.0</v>
      </c>
      <c r="I214" s="36"/>
      <c r="J214" s="29">
        <v>45889.0</v>
      </c>
      <c r="K214" s="30">
        <f t="shared" si="2"/>
        <v>191</v>
      </c>
      <c r="L214" s="27" t="s">
        <v>40</v>
      </c>
      <c r="M214" s="41"/>
      <c r="N214" s="33"/>
      <c r="O214" s="27" t="s">
        <v>41</v>
      </c>
      <c r="P214" s="27"/>
      <c r="Q214" s="41"/>
      <c r="R214" s="35"/>
      <c r="S214" s="36"/>
      <c r="T214" s="37"/>
      <c r="U214" s="37"/>
      <c r="V214" s="37"/>
      <c r="W214" s="37"/>
      <c r="X214" s="37"/>
      <c r="Y214" s="38"/>
      <c r="Z214" s="37"/>
      <c r="AA214" s="37"/>
      <c r="AB214" s="37"/>
      <c r="AC214" s="37"/>
    </row>
    <row r="215" ht="48.75" customHeight="1">
      <c r="A215" s="20" t="s">
        <v>671</v>
      </c>
      <c r="B215" s="20" t="s">
        <v>672</v>
      </c>
      <c r="C215" s="13" t="s">
        <v>84</v>
      </c>
      <c r="D215" s="13" t="s">
        <v>35</v>
      </c>
      <c r="E215" s="13" t="s">
        <v>123</v>
      </c>
      <c r="F215" s="14" t="s">
        <v>86</v>
      </c>
      <c r="G215" s="13" t="s">
        <v>49</v>
      </c>
      <c r="H215" s="15">
        <v>45769.0</v>
      </c>
      <c r="I215" s="22"/>
      <c r="J215" s="15">
        <v>45922.0</v>
      </c>
      <c r="K215" s="17">
        <f t="shared" si="2"/>
        <v>153</v>
      </c>
      <c r="L215" s="13" t="s">
        <v>40</v>
      </c>
      <c r="M215" s="41" t="s">
        <v>673</v>
      </c>
      <c r="N215" s="26"/>
      <c r="O215" s="20" t="s">
        <v>257</v>
      </c>
      <c r="P215" s="13"/>
      <c r="Q215" s="56" t="s">
        <v>674</v>
      </c>
      <c r="R215" s="21"/>
      <c r="S215" s="22"/>
      <c r="T215" s="23"/>
      <c r="U215" s="23"/>
      <c r="V215" s="28" t="s">
        <v>675</v>
      </c>
      <c r="W215" s="14" t="s">
        <v>676</v>
      </c>
      <c r="X215" s="14" t="s">
        <v>677</v>
      </c>
      <c r="Y215" s="57" t="s">
        <v>678</v>
      </c>
      <c r="Z215" s="14" t="s">
        <v>679</v>
      </c>
      <c r="AA215" s="14" t="s">
        <v>502</v>
      </c>
      <c r="AB215" s="23"/>
      <c r="AC215" s="47" t="s">
        <v>680</v>
      </c>
    </row>
    <row r="216" ht="42.75" customHeight="1">
      <c r="A216" s="27" t="s">
        <v>681</v>
      </c>
      <c r="B216" s="27" t="s">
        <v>682</v>
      </c>
      <c r="C216" s="27" t="s">
        <v>84</v>
      </c>
      <c r="D216" s="27" t="s">
        <v>35</v>
      </c>
      <c r="E216" s="27" t="s">
        <v>123</v>
      </c>
      <c r="F216" s="28" t="s">
        <v>86</v>
      </c>
      <c r="G216" s="27" t="s">
        <v>91</v>
      </c>
      <c r="H216" s="29">
        <v>45769.0</v>
      </c>
      <c r="I216" s="36"/>
      <c r="J216" s="29">
        <v>45832.0</v>
      </c>
      <c r="K216" s="30">
        <f t="shared" si="2"/>
        <v>63</v>
      </c>
      <c r="L216" s="27" t="s">
        <v>40</v>
      </c>
      <c r="M216" s="41"/>
      <c r="N216" s="33"/>
      <c r="O216" s="27" t="s">
        <v>81</v>
      </c>
      <c r="P216" s="27"/>
      <c r="Q216" s="41"/>
      <c r="R216" s="35"/>
      <c r="S216" s="36"/>
      <c r="T216" s="37"/>
      <c r="U216" s="37"/>
      <c r="W216" s="37"/>
      <c r="X216" s="37"/>
      <c r="Y216" s="38"/>
      <c r="Z216" s="37"/>
      <c r="AA216" s="37"/>
      <c r="AB216" s="37"/>
      <c r="AC216" s="37"/>
    </row>
    <row r="217" ht="32.25" customHeight="1">
      <c r="A217" s="13" t="s">
        <v>683</v>
      </c>
      <c r="B217" s="13" t="s">
        <v>669</v>
      </c>
      <c r="C217" s="13" t="s">
        <v>84</v>
      </c>
      <c r="D217" s="13" t="s">
        <v>35</v>
      </c>
      <c r="E217" s="13" t="s">
        <v>670</v>
      </c>
      <c r="F217" s="23"/>
      <c r="G217" s="13" t="s">
        <v>38</v>
      </c>
      <c r="H217" s="15">
        <v>45689.0</v>
      </c>
      <c r="I217" s="22"/>
      <c r="J217" s="15">
        <v>45709.0</v>
      </c>
      <c r="K217" s="17">
        <f t="shared" si="2"/>
        <v>20</v>
      </c>
      <c r="L217" s="13" t="s">
        <v>64</v>
      </c>
      <c r="M217" s="18"/>
      <c r="N217" s="26"/>
      <c r="O217" s="13" t="s">
        <v>257</v>
      </c>
      <c r="P217" s="13"/>
      <c r="Q217" s="18"/>
      <c r="R217" s="21"/>
      <c r="S217" s="22"/>
      <c r="T217" s="23"/>
      <c r="U217" s="23"/>
      <c r="V217" s="23"/>
      <c r="W217" s="23"/>
      <c r="X217" s="23"/>
      <c r="Y217" s="24"/>
      <c r="Z217" s="23"/>
      <c r="AA217" s="23"/>
      <c r="AB217" s="23"/>
      <c r="AC217" s="23"/>
    </row>
    <row r="218" ht="21.75" customHeight="1">
      <c r="A218" s="27" t="s">
        <v>684</v>
      </c>
      <c r="B218" s="27" t="s">
        <v>685</v>
      </c>
      <c r="C218" s="27" t="s">
        <v>84</v>
      </c>
      <c r="D218" s="27" t="s">
        <v>35</v>
      </c>
      <c r="E218" s="27" t="s">
        <v>686</v>
      </c>
      <c r="F218" s="37"/>
      <c r="G218" s="27" t="s">
        <v>38</v>
      </c>
      <c r="H218" s="29">
        <v>45693.0</v>
      </c>
      <c r="I218" s="36"/>
      <c r="J218" s="29">
        <v>45874.0</v>
      </c>
      <c r="K218" s="30">
        <f t="shared" si="2"/>
        <v>181</v>
      </c>
      <c r="L218" s="27" t="s">
        <v>40</v>
      </c>
      <c r="M218" s="41"/>
      <c r="N218" s="33"/>
      <c r="O218" s="27" t="s">
        <v>257</v>
      </c>
      <c r="P218" s="27"/>
      <c r="Q218" s="41"/>
      <c r="R218" s="35"/>
      <c r="S218" s="36"/>
      <c r="T218" s="37"/>
      <c r="U218" s="37"/>
      <c r="V218" s="37"/>
      <c r="W218" s="37"/>
      <c r="X218" s="37"/>
      <c r="Y218" s="38"/>
      <c r="Z218" s="37"/>
      <c r="AA218" s="37"/>
      <c r="AB218" s="37"/>
      <c r="AC218" s="37"/>
    </row>
    <row r="219" ht="21.75" customHeight="1">
      <c r="A219" s="13" t="s">
        <v>687</v>
      </c>
      <c r="B219" s="13" t="s">
        <v>688</v>
      </c>
      <c r="C219" s="13" t="s">
        <v>84</v>
      </c>
      <c r="D219" s="13" t="s">
        <v>35</v>
      </c>
      <c r="E219" s="13" t="s">
        <v>689</v>
      </c>
      <c r="F219" s="23"/>
      <c r="G219" s="13" t="s">
        <v>163</v>
      </c>
      <c r="H219" s="15">
        <v>45721.0</v>
      </c>
      <c r="I219" s="22"/>
      <c r="J219" s="15">
        <v>45848.0</v>
      </c>
      <c r="K219" s="17">
        <f t="shared" si="2"/>
        <v>127</v>
      </c>
      <c r="L219" s="13" t="s">
        <v>40</v>
      </c>
      <c r="M219" s="18"/>
      <c r="N219" s="26"/>
      <c r="O219" s="13" t="s">
        <v>257</v>
      </c>
      <c r="P219" s="13"/>
      <c r="Q219" s="18"/>
      <c r="R219" s="21"/>
      <c r="S219" s="22"/>
      <c r="T219" s="23"/>
      <c r="U219" s="23"/>
      <c r="V219" s="23"/>
      <c r="W219" s="23"/>
      <c r="X219" s="23"/>
      <c r="Y219" s="24"/>
      <c r="Z219" s="23"/>
      <c r="AA219" s="23"/>
      <c r="AB219" s="23"/>
      <c r="AC219" s="23"/>
    </row>
    <row r="220" ht="21.75" customHeight="1">
      <c r="A220" s="27" t="s">
        <v>690</v>
      </c>
      <c r="B220" s="27" t="s">
        <v>691</v>
      </c>
      <c r="C220" s="27" t="s">
        <v>692</v>
      </c>
      <c r="D220" s="27" t="s">
        <v>35</v>
      </c>
      <c r="E220" s="27" t="s">
        <v>693</v>
      </c>
      <c r="F220" s="37"/>
      <c r="G220" s="27" t="s">
        <v>49</v>
      </c>
      <c r="H220" s="29">
        <v>45638.0</v>
      </c>
      <c r="I220" s="36"/>
      <c r="J220" s="29"/>
      <c r="K220" s="30" t="str">
        <f t="shared" si="2"/>
        <v/>
      </c>
      <c r="L220" s="27" t="s">
        <v>40</v>
      </c>
      <c r="M220" s="41"/>
      <c r="N220" s="33"/>
      <c r="O220" s="27" t="s">
        <v>81</v>
      </c>
      <c r="P220" s="27"/>
      <c r="Q220" s="41"/>
      <c r="R220" s="35"/>
      <c r="S220" s="36"/>
      <c r="T220" s="37"/>
      <c r="U220" s="37"/>
      <c r="V220" s="37"/>
      <c r="W220" s="37"/>
      <c r="X220" s="37"/>
      <c r="Y220" s="38"/>
      <c r="Z220" s="37"/>
      <c r="AA220" s="37"/>
      <c r="AB220" s="37"/>
      <c r="AC220" s="37"/>
    </row>
    <row r="221" ht="21.75" customHeight="1">
      <c r="A221" s="13" t="s">
        <v>694</v>
      </c>
      <c r="B221" s="13" t="s">
        <v>695</v>
      </c>
      <c r="C221" s="13" t="s">
        <v>218</v>
      </c>
      <c r="D221" s="13" t="s">
        <v>35</v>
      </c>
      <c r="E221" s="13" t="s">
        <v>696</v>
      </c>
      <c r="F221" s="23"/>
      <c r="G221" s="13" t="s">
        <v>163</v>
      </c>
      <c r="H221" s="15">
        <v>45663.0</v>
      </c>
      <c r="I221" s="22"/>
      <c r="J221" s="15">
        <v>45807.0</v>
      </c>
      <c r="K221" s="17">
        <f t="shared" si="2"/>
        <v>144</v>
      </c>
      <c r="L221" s="13" t="s">
        <v>40</v>
      </c>
      <c r="M221" s="18"/>
      <c r="N221" s="26"/>
      <c r="O221" s="13" t="s">
        <v>41</v>
      </c>
      <c r="P221" s="13"/>
      <c r="Q221" s="18"/>
      <c r="R221" s="21"/>
      <c r="S221" s="22"/>
      <c r="T221" s="23"/>
      <c r="U221" s="23"/>
      <c r="V221" s="23"/>
      <c r="W221" s="23"/>
      <c r="X221" s="23"/>
      <c r="Y221" s="24"/>
      <c r="Z221" s="23"/>
      <c r="AA221" s="23"/>
      <c r="AB221" s="23"/>
      <c r="AC221" s="23"/>
    </row>
    <row r="222" ht="15.0" customHeight="1">
      <c r="A222" s="27" t="s">
        <v>697</v>
      </c>
      <c r="B222" s="27" t="s">
        <v>695</v>
      </c>
      <c r="C222" s="27" t="s">
        <v>218</v>
      </c>
      <c r="D222" s="27" t="s">
        <v>35</v>
      </c>
      <c r="E222" s="27" t="s">
        <v>696</v>
      </c>
      <c r="F222" s="37"/>
      <c r="G222" s="27" t="s">
        <v>75</v>
      </c>
      <c r="H222" s="29">
        <v>45761.0</v>
      </c>
      <c r="I222" s="36"/>
      <c r="J222" s="29">
        <v>45812.0</v>
      </c>
      <c r="K222" s="30">
        <f t="shared" si="2"/>
        <v>51</v>
      </c>
      <c r="L222" s="27" t="s">
        <v>40</v>
      </c>
      <c r="M222" s="41"/>
      <c r="N222" s="33"/>
      <c r="O222" s="27" t="s">
        <v>41</v>
      </c>
      <c r="P222" s="27"/>
      <c r="Q222" s="41"/>
      <c r="R222" s="35"/>
      <c r="S222" s="36"/>
      <c r="T222" s="37"/>
      <c r="U222" s="37"/>
      <c r="V222" s="37"/>
      <c r="W222" s="37"/>
      <c r="X222" s="37"/>
      <c r="Y222" s="38"/>
      <c r="Z222" s="37"/>
      <c r="AA222" s="37"/>
      <c r="AB222" s="37"/>
      <c r="AC222" s="37"/>
    </row>
    <row r="223" ht="21.75" customHeight="1">
      <c r="A223" s="13" t="s">
        <v>698</v>
      </c>
      <c r="B223" s="13" t="s">
        <v>695</v>
      </c>
      <c r="C223" s="13" t="s">
        <v>218</v>
      </c>
      <c r="D223" s="13" t="s">
        <v>35</v>
      </c>
      <c r="E223" s="13" t="s">
        <v>699</v>
      </c>
      <c r="F223" s="23"/>
      <c r="G223" s="13" t="s">
        <v>38</v>
      </c>
      <c r="H223" s="15">
        <v>45962.0</v>
      </c>
      <c r="I223" s="22"/>
      <c r="J223" s="15"/>
      <c r="K223" s="17" t="str">
        <f t="shared" si="2"/>
        <v/>
      </c>
      <c r="L223" s="13"/>
      <c r="M223" s="18"/>
      <c r="N223" s="26"/>
      <c r="O223" s="13"/>
      <c r="P223" s="13"/>
      <c r="Q223" s="18"/>
      <c r="R223" s="21"/>
      <c r="S223" s="22"/>
      <c r="T223" s="23"/>
      <c r="U223" s="23"/>
      <c r="V223" s="23"/>
      <c r="W223" s="23"/>
      <c r="X223" s="23"/>
      <c r="Y223" s="24"/>
      <c r="Z223" s="23"/>
      <c r="AA223" s="23"/>
      <c r="AB223" s="23"/>
      <c r="AC223" s="23"/>
    </row>
    <row r="224" ht="21.75" customHeight="1">
      <c r="A224" s="27" t="s">
        <v>700</v>
      </c>
      <c r="B224" s="27" t="s">
        <v>701</v>
      </c>
      <c r="C224" s="27" t="s">
        <v>84</v>
      </c>
      <c r="D224" s="27" t="s">
        <v>35</v>
      </c>
      <c r="E224" s="27" t="s">
        <v>702</v>
      </c>
      <c r="F224" s="37"/>
      <c r="G224" s="27" t="s">
        <v>38</v>
      </c>
      <c r="H224" s="29">
        <v>45759.0</v>
      </c>
      <c r="I224" s="36"/>
      <c r="J224" s="29"/>
      <c r="K224" s="30" t="str">
        <f t="shared" si="2"/>
        <v/>
      </c>
      <c r="L224" s="27" t="s">
        <v>40</v>
      </c>
      <c r="M224" s="41"/>
      <c r="N224" s="33"/>
      <c r="O224" s="27"/>
      <c r="P224" s="27"/>
      <c r="Q224" s="41"/>
      <c r="R224" s="35"/>
      <c r="S224" s="36"/>
      <c r="T224" s="37"/>
      <c r="U224" s="37"/>
      <c r="V224" s="37"/>
      <c r="W224" s="37"/>
      <c r="X224" s="37"/>
      <c r="Y224" s="38"/>
      <c r="Z224" s="37"/>
      <c r="AA224" s="37"/>
      <c r="AB224" s="37"/>
      <c r="AC224" s="37"/>
    </row>
    <row r="225" ht="21.75" customHeight="1">
      <c r="A225" s="13" t="s">
        <v>703</v>
      </c>
      <c r="B225" s="13" t="s">
        <v>704</v>
      </c>
      <c r="C225" s="13" t="s">
        <v>416</v>
      </c>
      <c r="D225" s="13" t="s">
        <v>409</v>
      </c>
      <c r="E225" s="13" t="s">
        <v>705</v>
      </c>
      <c r="F225" s="14" t="s">
        <v>86</v>
      </c>
      <c r="G225" s="13" t="s">
        <v>49</v>
      </c>
      <c r="H225" s="15">
        <v>45759.0</v>
      </c>
      <c r="I225" s="22"/>
      <c r="J225" s="15">
        <v>45900.0</v>
      </c>
      <c r="K225" s="17">
        <f t="shared" si="2"/>
        <v>141</v>
      </c>
      <c r="L225" s="13" t="s">
        <v>40</v>
      </c>
      <c r="M225" s="18"/>
      <c r="N225" s="26"/>
      <c r="O225" s="13" t="s">
        <v>81</v>
      </c>
      <c r="P225" s="13"/>
      <c r="Q225" s="18"/>
      <c r="R225" s="21"/>
      <c r="S225" s="22"/>
      <c r="T225" s="23"/>
      <c r="U225" s="23"/>
      <c r="V225" s="23"/>
      <c r="W225" s="23"/>
      <c r="X225" s="23"/>
      <c r="Y225" s="24"/>
      <c r="Z225" s="23"/>
      <c r="AA225" s="23"/>
      <c r="AB225" s="23"/>
      <c r="AC225" s="23"/>
    </row>
    <row r="226" ht="21.75" customHeight="1">
      <c r="A226" s="27" t="s">
        <v>706</v>
      </c>
      <c r="B226" s="27" t="s">
        <v>707</v>
      </c>
      <c r="C226" s="27" t="s">
        <v>416</v>
      </c>
      <c r="D226" s="27" t="s">
        <v>409</v>
      </c>
      <c r="E226" s="27" t="s">
        <v>590</v>
      </c>
      <c r="F226" s="28" t="s">
        <v>86</v>
      </c>
      <c r="G226" s="27" t="s">
        <v>91</v>
      </c>
      <c r="H226" s="29">
        <v>45755.0</v>
      </c>
      <c r="I226" s="36"/>
      <c r="J226" s="29">
        <v>46021.0</v>
      </c>
      <c r="K226" s="30">
        <f t="shared" si="2"/>
        <v>266</v>
      </c>
      <c r="L226" s="27" t="s">
        <v>40</v>
      </c>
      <c r="M226" s="41"/>
      <c r="N226" s="33"/>
      <c r="O226" s="27" t="s">
        <v>41</v>
      </c>
      <c r="P226" s="27"/>
      <c r="Q226" s="41"/>
      <c r="R226" s="35"/>
      <c r="S226" s="36"/>
      <c r="T226" s="37"/>
      <c r="U226" s="37"/>
      <c r="V226" s="37"/>
      <c r="W226" s="37"/>
      <c r="X226" s="37"/>
      <c r="Y226" s="38"/>
      <c r="Z226" s="37"/>
      <c r="AA226" s="37"/>
      <c r="AB226" s="37"/>
      <c r="AC226" s="37"/>
    </row>
    <row r="227" ht="32.25" customHeight="1">
      <c r="A227" s="13" t="s">
        <v>708</v>
      </c>
      <c r="B227" s="13" t="s">
        <v>709</v>
      </c>
      <c r="C227" s="13" t="s">
        <v>692</v>
      </c>
      <c r="D227" s="13" t="s">
        <v>35</v>
      </c>
      <c r="E227" s="13" t="s">
        <v>710</v>
      </c>
      <c r="F227" s="23"/>
      <c r="G227" s="13" t="s">
        <v>49</v>
      </c>
      <c r="H227" s="15">
        <v>45762.0</v>
      </c>
      <c r="I227" s="22"/>
      <c r="J227" s="15">
        <v>45885.0</v>
      </c>
      <c r="K227" s="17">
        <f t="shared" si="2"/>
        <v>123</v>
      </c>
      <c r="L227" s="13" t="s">
        <v>40</v>
      </c>
      <c r="M227" s="18"/>
      <c r="N227" s="26"/>
      <c r="O227" s="13" t="s">
        <v>51</v>
      </c>
      <c r="P227" s="13"/>
      <c r="Q227" s="18"/>
      <c r="R227" s="21"/>
      <c r="S227" s="22"/>
      <c r="T227" s="23"/>
      <c r="U227" s="23"/>
      <c r="V227" s="23"/>
      <c r="W227" s="23"/>
      <c r="X227" s="23"/>
      <c r="Y227" s="24"/>
      <c r="Z227" s="23"/>
      <c r="AA227" s="23"/>
      <c r="AB227" s="23"/>
      <c r="AC227" s="23"/>
    </row>
    <row r="228" ht="32.25" customHeight="1">
      <c r="A228" s="27" t="s">
        <v>711</v>
      </c>
      <c r="B228" s="27" t="s">
        <v>712</v>
      </c>
      <c r="C228" s="27" t="s">
        <v>692</v>
      </c>
      <c r="D228" s="27" t="s">
        <v>35</v>
      </c>
      <c r="E228" s="27" t="s">
        <v>713</v>
      </c>
      <c r="F228" s="37"/>
      <c r="G228" s="27" t="s">
        <v>49</v>
      </c>
      <c r="H228" s="58">
        <v>45450.0</v>
      </c>
      <c r="I228" s="36"/>
      <c r="J228" s="50">
        <v>45663.0</v>
      </c>
      <c r="K228" s="30">
        <f t="shared" si="2"/>
        <v>213</v>
      </c>
      <c r="L228" s="27" t="s">
        <v>56</v>
      </c>
      <c r="M228" s="41"/>
      <c r="N228" s="33"/>
      <c r="O228" s="27" t="s">
        <v>257</v>
      </c>
      <c r="P228" s="27"/>
      <c r="Q228" s="41"/>
      <c r="R228" s="35"/>
      <c r="S228" s="36"/>
      <c r="T228" s="37"/>
      <c r="U228" s="37"/>
      <c r="V228" s="37"/>
      <c r="W228" s="37"/>
      <c r="X228" s="37"/>
      <c r="Y228" s="38"/>
      <c r="Z228" s="37"/>
      <c r="AA228" s="37"/>
      <c r="AB228" s="37"/>
      <c r="AC228" s="37"/>
    </row>
    <row r="229" ht="21.75" customHeight="1">
      <c r="A229" s="13" t="s">
        <v>714</v>
      </c>
      <c r="B229" s="13" t="s">
        <v>715</v>
      </c>
      <c r="C229" s="13" t="s">
        <v>692</v>
      </c>
      <c r="D229" s="13" t="s">
        <v>35</v>
      </c>
      <c r="E229" s="13" t="s">
        <v>713</v>
      </c>
      <c r="F229" s="23"/>
      <c r="G229" s="13" t="s">
        <v>91</v>
      </c>
      <c r="H229" s="15">
        <v>45587.0</v>
      </c>
      <c r="I229" s="22"/>
      <c r="J229" s="15"/>
      <c r="K229" s="17" t="str">
        <f t="shared" si="2"/>
        <v/>
      </c>
      <c r="L229" s="13" t="s">
        <v>64</v>
      </c>
      <c r="M229" s="18"/>
      <c r="N229" s="26"/>
      <c r="O229" s="13" t="s">
        <v>257</v>
      </c>
      <c r="P229" s="13"/>
      <c r="Q229" s="18"/>
      <c r="R229" s="21"/>
      <c r="S229" s="22"/>
      <c r="T229" s="23"/>
      <c r="U229" s="23"/>
      <c r="V229" s="23"/>
      <c r="W229" s="23"/>
      <c r="X229" s="23"/>
      <c r="Y229" s="24"/>
      <c r="Z229" s="23"/>
      <c r="AA229" s="23"/>
      <c r="AB229" s="23"/>
      <c r="AC229" s="23"/>
    </row>
    <row r="230" ht="21.75" customHeight="1">
      <c r="A230" s="27" t="s">
        <v>716</v>
      </c>
      <c r="B230" s="27" t="s">
        <v>717</v>
      </c>
      <c r="C230" s="27" t="s">
        <v>692</v>
      </c>
      <c r="D230" s="27" t="s">
        <v>35</v>
      </c>
      <c r="E230" s="27" t="s">
        <v>715</v>
      </c>
      <c r="F230" s="37"/>
      <c r="G230" s="27" t="s">
        <v>49</v>
      </c>
      <c r="H230" s="29">
        <v>45699.0</v>
      </c>
      <c r="I230" s="36"/>
      <c r="J230" s="50">
        <v>45815.0</v>
      </c>
      <c r="K230" s="30">
        <f t="shared" si="2"/>
        <v>116</v>
      </c>
      <c r="L230" s="27" t="s">
        <v>56</v>
      </c>
      <c r="M230" s="41"/>
      <c r="N230" s="33"/>
      <c r="O230" s="27" t="s">
        <v>257</v>
      </c>
      <c r="P230" s="27"/>
      <c r="Q230" s="41"/>
      <c r="R230" s="35"/>
      <c r="S230" s="36"/>
      <c r="T230" s="37"/>
      <c r="U230" s="37"/>
      <c r="V230" s="37"/>
      <c r="W230" s="37"/>
      <c r="X230" s="37"/>
      <c r="Y230" s="38"/>
      <c r="Z230" s="37"/>
      <c r="AA230" s="37"/>
      <c r="AB230" s="37"/>
      <c r="AC230" s="37"/>
    </row>
    <row r="231" ht="21.75" customHeight="1">
      <c r="A231" s="13" t="s">
        <v>718</v>
      </c>
      <c r="B231" s="13" t="s">
        <v>719</v>
      </c>
      <c r="C231" s="13" t="s">
        <v>84</v>
      </c>
      <c r="D231" s="13" t="s">
        <v>35</v>
      </c>
      <c r="E231" s="13" t="s">
        <v>720</v>
      </c>
      <c r="F231" s="23"/>
      <c r="G231" s="20" t="s">
        <v>364</v>
      </c>
      <c r="H231" s="15">
        <v>45960.0</v>
      </c>
      <c r="I231" s="22"/>
      <c r="J231" s="15">
        <v>46018.0</v>
      </c>
      <c r="K231" s="17">
        <f t="shared" si="2"/>
        <v>58</v>
      </c>
      <c r="L231" s="13" t="s">
        <v>64</v>
      </c>
      <c r="M231" s="18"/>
      <c r="N231" s="26"/>
      <c r="O231" s="13" t="s">
        <v>257</v>
      </c>
      <c r="P231" s="13"/>
      <c r="Q231" s="18"/>
      <c r="R231" s="21"/>
      <c r="S231" s="22"/>
      <c r="T231" s="23"/>
      <c r="U231" s="23"/>
      <c r="V231" s="23"/>
      <c r="W231" s="23"/>
      <c r="X231" s="23"/>
      <c r="Y231" s="24"/>
      <c r="Z231" s="23"/>
      <c r="AA231" s="23"/>
      <c r="AB231" s="23"/>
      <c r="AC231" s="23"/>
    </row>
    <row r="232" ht="42.75" customHeight="1">
      <c r="A232" s="27" t="s">
        <v>721</v>
      </c>
      <c r="B232" s="27" t="s">
        <v>722</v>
      </c>
      <c r="C232" s="27" t="s">
        <v>34</v>
      </c>
      <c r="D232" s="27" t="s">
        <v>35</v>
      </c>
      <c r="E232" s="27" t="s">
        <v>723</v>
      </c>
      <c r="F232" s="37"/>
      <c r="G232" s="27" t="s">
        <v>75</v>
      </c>
      <c r="H232" s="29">
        <v>45601.0</v>
      </c>
      <c r="I232" s="36"/>
      <c r="J232" s="29">
        <v>45667.0</v>
      </c>
      <c r="K232" s="30">
        <f t="shared" si="2"/>
        <v>66</v>
      </c>
      <c r="L232" s="27" t="s">
        <v>40</v>
      </c>
      <c r="M232" s="41"/>
      <c r="N232" s="33"/>
      <c r="O232" s="27" t="s">
        <v>51</v>
      </c>
      <c r="P232" s="27"/>
      <c r="Q232" s="41"/>
      <c r="R232" s="35"/>
      <c r="S232" s="36"/>
      <c r="T232" s="37"/>
      <c r="U232" s="37"/>
      <c r="V232" s="37"/>
      <c r="W232" s="37"/>
      <c r="X232" s="37"/>
      <c r="Y232" s="38"/>
      <c r="Z232" s="37"/>
      <c r="AA232" s="37"/>
      <c r="AB232" s="37"/>
      <c r="AC232" s="37"/>
    </row>
    <row r="233" ht="21.75" customHeight="1">
      <c r="A233" s="13" t="s">
        <v>724</v>
      </c>
      <c r="B233" s="13" t="s">
        <v>725</v>
      </c>
      <c r="C233" s="13" t="s">
        <v>34</v>
      </c>
      <c r="D233" s="13" t="s">
        <v>35</v>
      </c>
      <c r="E233" s="13" t="s">
        <v>726</v>
      </c>
      <c r="F233" s="23"/>
      <c r="G233" s="13" t="s">
        <v>75</v>
      </c>
      <c r="H233" s="15">
        <v>45627.0</v>
      </c>
      <c r="I233" s="22"/>
      <c r="J233" s="15">
        <v>45728.0</v>
      </c>
      <c r="K233" s="17">
        <f t="shared" si="2"/>
        <v>101</v>
      </c>
      <c r="L233" s="13" t="s">
        <v>64</v>
      </c>
      <c r="M233" s="18"/>
      <c r="N233" s="26"/>
      <c r="O233" s="13" t="s">
        <v>257</v>
      </c>
      <c r="P233" s="13"/>
      <c r="Q233" s="18"/>
      <c r="R233" s="21"/>
      <c r="S233" s="22"/>
      <c r="T233" s="23"/>
      <c r="U233" s="23"/>
      <c r="V233" s="23"/>
      <c r="W233" s="23"/>
      <c r="X233" s="23"/>
      <c r="Y233" s="24"/>
      <c r="Z233" s="23"/>
      <c r="AA233" s="23"/>
      <c r="AB233" s="23"/>
      <c r="AC233" s="23"/>
    </row>
    <row r="234" ht="32.25" customHeight="1">
      <c r="A234" s="27" t="s">
        <v>727</v>
      </c>
      <c r="B234" s="27" t="s">
        <v>728</v>
      </c>
      <c r="C234" s="27" t="s">
        <v>34</v>
      </c>
      <c r="D234" s="27" t="s">
        <v>35</v>
      </c>
      <c r="E234" s="27" t="s">
        <v>726</v>
      </c>
      <c r="F234" s="37"/>
      <c r="G234" s="27" t="s">
        <v>38</v>
      </c>
      <c r="H234" s="29">
        <v>45699.0</v>
      </c>
      <c r="I234" s="36"/>
      <c r="J234" s="29">
        <v>45809.0</v>
      </c>
      <c r="K234" s="30">
        <f t="shared" si="2"/>
        <v>110</v>
      </c>
      <c r="L234" s="27" t="s">
        <v>40</v>
      </c>
      <c r="M234" s="41"/>
      <c r="N234" s="33"/>
      <c r="O234" s="27" t="s">
        <v>41</v>
      </c>
      <c r="P234" s="27"/>
      <c r="Q234" s="41"/>
      <c r="R234" s="35"/>
      <c r="S234" s="36"/>
      <c r="T234" s="37"/>
      <c r="U234" s="37"/>
      <c r="V234" s="37"/>
      <c r="W234" s="37"/>
      <c r="X234" s="37"/>
      <c r="Y234" s="38"/>
      <c r="Z234" s="37"/>
      <c r="AA234" s="37"/>
      <c r="AB234" s="37"/>
      <c r="AC234" s="37"/>
    </row>
    <row r="235" ht="42.75" customHeight="1">
      <c r="A235" s="13" t="s">
        <v>729</v>
      </c>
      <c r="B235" s="13" t="s">
        <v>730</v>
      </c>
      <c r="C235" s="13" t="s">
        <v>416</v>
      </c>
      <c r="D235" s="13" t="s">
        <v>409</v>
      </c>
      <c r="E235" s="13" t="s">
        <v>590</v>
      </c>
      <c r="F235" s="14" t="s">
        <v>86</v>
      </c>
      <c r="G235" s="13" t="s">
        <v>49</v>
      </c>
      <c r="H235" s="15">
        <v>45669.0</v>
      </c>
      <c r="I235" s="22"/>
      <c r="J235" s="15">
        <v>45779.0</v>
      </c>
      <c r="K235" s="17">
        <f t="shared" si="2"/>
        <v>110</v>
      </c>
      <c r="L235" s="13" t="s">
        <v>64</v>
      </c>
      <c r="M235" s="18"/>
      <c r="N235" s="26"/>
      <c r="O235" s="20" t="s">
        <v>81</v>
      </c>
      <c r="P235" s="13"/>
      <c r="Q235" s="18"/>
      <c r="R235" s="21"/>
      <c r="S235" s="22"/>
      <c r="T235" s="23"/>
      <c r="U235" s="23"/>
      <c r="V235" s="23"/>
      <c r="W235" s="23"/>
      <c r="X235" s="23"/>
      <c r="Y235" s="24"/>
      <c r="Z235" s="23"/>
      <c r="AA235" s="23"/>
      <c r="AB235" s="23"/>
      <c r="AC235" s="23"/>
    </row>
    <row r="236" ht="32.25" customHeight="1">
      <c r="A236" s="27" t="s">
        <v>731</v>
      </c>
      <c r="B236" s="27" t="s">
        <v>732</v>
      </c>
      <c r="C236" s="27" t="s">
        <v>416</v>
      </c>
      <c r="D236" s="27" t="s">
        <v>409</v>
      </c>
      <c r="E236" s="27" t="s">
        <v>590</v>
      </c>
      <c r="F236" s="28" t="s">
        <v>86</v>
      </c>
      <c r="G236" s="27" t="s">
        <v>91</v>
      </c>
      <c r="H236" s="29">
        <v>45787.0</v>
      </c>
      <c r="I236" s="36"/>
      <c r="J236" s="29">
        <v>46001.0</v>
      </c>
      <c r="K236" s="30">
        <f t="shared" si="2"/>
        <v>214</v>
      </c>
      <c r="L236" s="27" t="s">
        <v>40</v>
      </c>
      <c r="M236" s="41"/>
      <c r="N236" s="33"/>
      <c r="O236" s="27" t="s">
        <v>81</v>
      </c>
      <c r="P236" s="27"/>
      <c r="Q236" s="41"/>
      <c r="R236" s="35"/>
      <c r="S236" s="36"/>
      <c r="T236" s="37"/>
      <c r="U236" s="37"/>
      <c r="V236" s="37"/>
      <c r="W236" s="37"/>
      <c r="X236" s="37"/>
      <c r="Y236" s="38"/>
      <c r="Z236" s="37"/>
      <c r="AA236" s="37"/>
      <c r="AB236" s="37"/>
      <c r="AC236" s="37"/>
    </row>
    <row r="237" ht="21.75" customHeight="1">
      <c r="A237" s="13" t="s">
        <v>733</v>
      </c>
      <c r="B237" s="13" t="s">
        <v>734</v>
      </c>
      <c r="C237" s="13" t="s">
        <v>416</v>
      </c>
      <c r="D237" s="13" t="s">
        <v>409</v>
      </c>
      <c r="E237" s="13" t="s">
        <v>417</v>
      </c>
      <c r="F237" s="14" t="s">
        <v>37</v>
      </c>
      <c r="G237" s="13" t="s">
        <v>49</v>
      </c>
      <c r="H237" s="15"/>
      <c r="I237" s="22"/>
      <c r="J237" s="15"/>
      <c r="K237" s="17" t="str">
        <f t="shared" si="2"/>
        <v/>
      </c>
      <c r="L237" s="13" t="s">
        <v>64</v>
      </c>
      <c r="M237" s="25" t="s">
        <v>735</v>
      </c>
      <c r="N237" s="26"/>
      <c r="O237" s="13" t="s">
        <v>257</v>
      </c>
      <c r="P237" s="13"/>
      <c r="Q237" s="25" t="s">
        <v>736</v>
      </c>
      <c r="R237" s="21"/>
      <c r="S237" s="22"/>
      <c r="T237" s="23"/>
      <c r="U237" s="23"/>
      <c r="V237" s="23"/>
      <c r="W237" s="23"/>
      <c r="X237" s="23"/>
      <c r="Y237" s="24"/>
      <c r="Z237" s="23"/>
      <c r="AA237" s="23"/>
      <c r="AB237" s="23"/>
      <c r="AC237" s="23"/>
    </row>
    <row r="238" ht="21.75" customHeight="1">
      <c r="A238" s="27" t="s">
        <v>737</v>
      </c>
      <c r="B238" s="27" t="s">
        <v>405</v>
      </c>
      <c r="C238" s="27" t="s">
        <v>84</v>
      </c>
      <c r="D238" s="27" t="s">
        <v>35</v>
      </c>
      <c r="E238" s="27" t="s">
        <v>738</v>
      </c>
      <c r="F238" s="37"/>
      <c r="G238" s="27" t="s">
        <v>38</v>
      </c>
      <c r="H238" s="29">
        <v>45773.0</v>
      </c>
      <c r="I238" s="36"/>
      <c r="J238" s="50">
        <v>46234.0</v>
      </c>
      <c r="K238" s="30">
        <f t="shared" si="2"/>
        <v>461</v>
      </c>
      <c r="L238" s="27" t="s">
        <v>40</v>
      </c>
      <c r="M238" s="41"/>
      <c r="N238" s="33"/>
      <c r="O238" s="27" t="s">
        <v>41</v>
      </c>
      <c r="P238" s="27"/>
      <c r="Q238" s="41"/>
      <c r="R238" s="35"/>
      <c r="S238" s="36"/>
      <c r="T238" s="37"/>
      <c r="U238" s="37"/>
      <c r="V238" s="37"/>
      <c r="W238" s="37"/>
      <c r="X238" s="37"/>
      <c r="Y238" s="38"/>
      <c r="Z238" s="37"/>
      <c r="AA238" s="37"/>
      <c r="AB238" s="37"/>
      <c r="AC238" s="37"/>
    </row>
    <row r="239" ht="21.75" customHeight="1">
      <c r="A239" s="13" t="s">
        <v>739</v>
      </c>
      <c r="B239" s="13" t="s">
        <v>405</v>
      </c>
      <c r="C239" s="13" t="s">
        <v>84</v>
      </c>
      <c r="D239" s="13" t="s">
        <v>35</v>
      </c>
      <c r="E239" s="13" t="s">
        <v>738</v>
      </c>
      <c r="F239" s="23"/>
      <c r="G239" s="13" t="s">
        <v>38</v>
      </c>
      <c r="H239" s="16">
        <v>45870.0</v>
      </c>
      <c r="I239" s="22"/>
      <c r="J239" s="16">
        <v>46203.0</v>
      </c>
      <c r="K239" s="17">
        <f t="shared" si="2"/>
        <v>333</v>
      </c>
      <c r="L239" s="13" t="s">
        <v>40</v>
      </c>
      <c r="M239" s="18"/>
      <c r="N239" s="26"/>
      <c r="O239" s="13" t="s">
        <v>51</v>
      </c>
      <c r="P239" s="13" t="s">
        <v>42</v>
      </c>
      <c r="Q239" s="18"/>
      <c r="R239" s="21"/>
      <c r="S239" s="22"/>
      <c r="T239" s="23"/>
      <c r="U239" s="23"/>
      <c r="V239" s="23"/>
      <c r="W239" s="23"/>
      <c r="X239" s="23"/>
      <c r="Y239" s="24"/>
      <c r="Z239" s="23"/>
      <c r="AA239" s="23"/>
      <c r="AB239" s="23"/>
      <c r="AC239" s="23"/>
    </row>
    <row r="240" ht="21.75" customHeight="1">
      <c r="A240" s="27" t="s">
        <v>740</v>
      </c>
      <c r="B240" s="31">
        <v>1.0</v>
      </c>
      <c r="C240" s="27" t="s">
        <v>84</v>
      </c>
      <c r="D240" s="27" t="s">
        <v>35</v>
      </c>
      <c r="E240" s="27" t="s">
        <v>741</v>
      </c>
      <c r="F240" s="37"/>
      <c r="G240" s="27" t="s">
        <v>49</v>
      </c>
      <c r="H240" s="29"/>
      <c r="I240" s="36"/>
      <c r="J240" s="29"/>
      <c r="K240" s="30" t="str">
        <f t="shared" si="2"/>
        <v/>
      </c>
      <c r="L240" s="27"/>
      <c r="M240" s="32" t="s">
        <v>742</v>
      </c>
      <c r="N240" s="42">
        <v>3.2</v>
      </c>
      <c r="O240" s="27" t="s">
        <v>41</v>
      </c>
      <c r="P240" s="31" t="s">
        <v>42</v>
      </c>
      <c r="Q240" s="51" t="s">
        <v>743</v>
      </c>
      <c r="R240" s="35"/>
      <c r="S240" s="36"/>
      <c r="T240" s="37"/>
      <c r="U240" s="37"/>
      <c r="V240" s="37"/>
      <c r="W240" s="37"/>
      <c r="X240" s="37"/>
      <c r="Y240" s="38"/>
      <c r="Z240" s="37"/>
      <c r="AA240" s="37"/>
      <c r="AB240" s="37"/>
      <c r="AC240" s="37"/>
    </row>
    <row r="241" ht="42.75" customHeight="1">
      <c r="A241" s="13" t="s">
        <v>744</v>
      </c>
      <c r="B241" s="13" t="s">
        <v>318</v>
      </c>
      <c r="C241" s="13" t="s">
        <v>84</v>
      </c>
      <c r="D241" s="13" t="s">
        <v>35</v>
      </c>
      <c r="E241" s="13" t="s">
        <v>319</v>
      </c>
      <c r="F241" s="14" t="s">
        <v>37</v>
      </c>
      <c r="G241" s="13" t="s">
        <v>49</v>
      </c>
      <c r="H241" s="15">
        <v>45611.0</v>
      </c>
      <c r="I241" s="22"/>
      <c r="J241" s="15">
        <v>45820.0</v>
      </c>
      <c r="K241" s="17">
        <f t="shared" si="2"/>
        <v>209</v>
      </c>
      <c r="L241" s="13" t="s">
        <v>745</v>
      </c>
      <c r="M241" s="25" t="s">
        <v>746</v>
      </c>
      <c r="N241" s="26"/>
      <c r="O241" s="13"/>
      <c r="P241" s="13"/>
      <c r="Q241" s="18"/>
      <c r="R241" s="21"/>
      <c r="S241" s="22"/>
      <c r="T241" s="23"/>
      <c r="U241" s="23"/>
      <c r="V241" s="23"/>
      <c r="W241" s="23"/>
      <c r="X241" s="23"/>
      <c r="Y241" s="24"/>
      <c r="Z241" s="23"/>
      <c r="AA241" s="23"/>
      <c r="AB241" s="23"/>
      <c r="AC241" s="23"/>
    </row>
    <row r="242" ht="32.25" customHeight="1">
      <c r="A242" s="27" t="s">
        <v>747</v>
      </c>
      <c r="B242" s="27" t="s">
        <v>748</v>
      </c>
      <c r="C242" s="27" t="s">
        <v>84</v>
      </c>
      <c r="D242" s="27" t="s">
        <v>35</v>
      </c>
      <c r="E242" s="27" t="s">
        <v>319</v>
      </c>
      <c r="F242" s="28" t="s">
        <v>37</v>
      </c>
      <c r="G242" s="31" t="s">
        <v>49</v>
      </c>
      <c r="H242" s="29">
        <v>45802.0</v>
      </c>
      <c r="I242" s="36"/>
      <c r="J242" s="29">
        <v>45869.0</v>
      </c>
      <c r="K242" s="30">
        <f t="shared" si="2"/>
        <v>67</v>
      </c>
      <c r="L242" s="27" t="s">
        <v>64</v>
      </c>
      <c r="M242" s="32" t="s">
        <v>749</v>
      </c>
      <c r="N242" s="33"/>
      <c r="O242" s="27" t="s">
        <v>51</v>
      </c>
      <c r="P242" s="27"/>
      <c r="Q242" s="34" t="s">
        <v>750</v>
      </c>
      <c r="R242" s="35"/>
      <c r="S242" s="36"/>
      <c r="T242" s="37"/>
      <c r="U242" s="37"/>
      <c r="V242" s="37"/>
      <c r="W242" s="37"/>
      <c r="X242" s="37"/>
      <c r="Y242" s="38"/>
      <c r="Z242" s="37"/>
      <c r="AA242" s="37"/>
      <c r="AB242" s="37"/>
      <c r="AC242" s="37"/>
    </row>
    <row r="243" ht="21.75" customHeight="1">
      <c r="A243" s="13" t="s">
        <v>751</v>
      </c>
      <c r="B243" s="13" t="s">
        <v>335</v>
      </c>
      <c r="C243" s="13" t="s">
        <v>84</v>
      </c>
      <c r="D243" s="13" t="s">
        <v>35</v>
      </c>
      <c r="E243" s="13" t="s">
        <v>319</v>
      </c>
      <c r="F243" s="14" t="s">
        <v>37</v>
      </c>
      <c r="G243" s="13" t="s">
        <v>49</v>
      </c>
      <c r="H243" s="15">
        <v>45817.0</v>
      </c>
      <c r="I243" s="22"/>
      <c r="J243" s="15">
        <v>46022.0</v>
      </c>
      <c r="K243" s="17">
        <f t="shared" si="2"/>
        <v>205</v>
      </c>
      <c r="L243" s="13" t="s">
        <v>40</v>
      </c>
      <c r="M243" s="25" t="s">
        <v>752</v>
      </c>
      <c r="N243" s="19">
        <v>2.0</v>
      </c>
      <c r="O243" s="20" t="s">
        <v>51</v>
      </c>
      <c r="P243" s="13" t="s">
        <v>42</v>
      </c>
      <c r="Q243" s="51" t="s">
        <v>753</v>
      </c>
      <c r="R243" s="21"/>
      <c r="S243" s="22"/>
      <c r="T243" s="23"/>
      <c r="U243" s="23"/>
      <c r="V243" s="23"/>
      <c r="W243" s="23"/>
      <c r="X243" s="23"/>
      <c r="Y243" s="24"/>
      <c r="Z243" s="23"/>
      <c r="AA243" s="23"/>
      <c r="AB243" s="23"/>
      <c r="AC243" s="23"/>
    </row>
    <row r="244" ht="32.25" customHeight="1">
      <c r="A244" s="27" t="s">
        <v>754</v>
      </c>
      <c r="B244" s="27" t="s">
        <v>755</v>
      </c>
      <c r="C244" s="27" t="s">
        <v>84</v>
      </c>
      <c r="D244" s="27" t="s">
        <v>35</v>
      </c>
      <c r="E244" s="27" t="s">
        <v>319</v>
      </c>
      <c r="F244" s="28" t="s">
        <v>37</v>
      </c>
      <c r="G244" s="27" t="s">
        <v>38</v>
      </c>
      <c r="H244" s="29">
        <v>45808.0</v>
      </c>
      <c r="I244" s="36"/>
      <c r="J244" s="50">
        <v>46173.0</v>
      </c>
      <c r="K244" s="30">
        <f t="shared" si="2"/>
        <v>365</v>
      </c>
      <c r="L244" s="31" t="s">
        <v>64</v>
      </c>
      <c r="M244" s="41"/>
      <c r="N244" s="33"/>
      <c r="O244" s="27"/>
      <c r="P244" s="27" t="s">
        <v>42</v>
      </c>
      <c r="Q244" s="41"/>
      <c r="R244" s="35"/>
      <c r="S244" s="36"/>
      <c r="T244" s="37"/>
      <c r="U244" s="37"/>
      <c r="V244" s="37"/>
      <c r="W244" s="37"/>
      <c r="X244" s="37"/>
      <c r="Y244" s="38"/>
      <c r="Z244" s="37"/>
      <c r="AA244" s="37"/>
      <c r="AB244" s="37"/>
      <c r="AC244" s="37"/>
    </row>
    <row r="245" ht="32.25" customHeight="1">
      <c r="A245" s="13" t="s">
        <v>756</v>
      </c>
      <c r="B245" s="13" t="s">
        <v>757</v>
      </c>
      <c r="C245" s="13" t="s">
        <v>199</v>
      </c>
      <c r="D245" s="13" t="s">
        <v>35</v>
      </c>
      <c r="E245" s="13" t="s">
        <v>758</v>
      </c>
      <c r="F245" s="23"/>
      <c r="G245" s="13" t="s">
        <v>38</v>
      </c>
      <c r="H245" s="15">
        <v>45745.0</v>
      </c>
      <c r="I245" s="22"/>
      <c r="J245" s="15"/>
      <c r="K245" s="17" t="str">
        <f t="shared" si="2"/>
        <v/>
      </c>
      <c r="L245" s="13" t="s">
        <v>40</v>
      </c>
      <c r="M245" s="18"/>
      <c r="N245" s="26"/>
      <c r="O245" s="13" t="s">
        <v>41</v>
      </c>
      <c r="P245" s="13"/>
      <c r="Q245" s="18"/>
      <c r="R245" s="21"/>
      <c r="S245" s="22"/>
      <c r="T245" s="23"/>
      <c r="U245" s="23"/>
      <c r="V245" s="23"/>
      <c r="W245" s="23"/>
      <c r="X245" s="23"/>
      <c r="Y245" s="24"/>
      <c r="Z245" s="23"/>
      <c r="AA245" s="23"/>
      <c r="AB245" s="23"/>
      <c r="AC245" s="23"/>
    </row>
    <row r="246" ht="21.75" customHeight="1">
      <c r="A246" s="27" t="s">
        <v>759</v>
      </c>
      <c r="B246" s="27" t="s">
        <v>760</v>
      </c>
      <c r="C246" s="27" t="s">
        <v>199</v>
      </c>
      <c r="D246" s="27" t="s">
        <v>35</v>
      </c>
      <c r="E246" s="27" t="s">
        <v>758</v>
      </c>
      <c r="F246" s="37"/>
      <c r="G246" s="27" t="s">
        <v>364</v>
      </c>
      <c r="H246" s="29">
        <v>45818.0</v>
      </c>
      <c r="I246" s="36"/>
      <c r="J246" s="29"/>
      <c r="K246" s="30" t="str">
        <f t="shared" si="2"/>
        <v/>
      </c>
      <c r="L246" s="27" t="s">
        <v>40</v>
      </c>
      <c r="M246" s="41"/>
      <c r="N246" s="33"/>
      <c r="O246" s="27" t="s">
        <v>51</v>
      </c>
      <c r="P246" s="27"/>
      <c r="Q246" s="41"/>
      <c r="R246" s="35"/>
      <c r="S246" s="36"/>
      <c r="T246" s="37"/>
      <c r="U246" s="37"/>
      <c r="V246" s="37"/>
      <c r="W246" s="37"/>
      <c r="X246" s="37"/>
      <c r="Y246" s="38"/>
      <c r="Z246" s="37"/>
      <c r="AA246" s="37"/>
      <c r="AB246" s="37"/>
      <c r="AC246" s="37"/>
    </row>
    <row r="247" ht="32.25" customHeight="1">
      <c r="A247" s="13" t="s">
        <v>351</v>
      </c>
      <c r="B247" s="13" t="s">
        <v>761</v>
      </c>
      <c r="C247" s="13" t="s">
        <v>186</v>
      </c>
      <c r="D247" s="13" t="s">
        <v>35</v>
      </c>
      <c r="E247" s="13" t="s">
        <v>350</v>
      </c>
      <c r="F247" s="23"/>
      <c r="G247" s="13" t="s">
        <v>163</v>
      </c>
      <c r="H247" s="15">
        <v>45820.0</v>
      </c>
      <c r="I247" s="22"/>
      <c r="J247" s="15"/>
      <c r="K247" s="17" t="str">
        <f t="shared" si="2"/>
        <v/>
      </c>
      <c r="L247" s="13" t="s">
        <v>40</v>
      </c>
      <c r="M247" s="18"/>
      <c r="N247" s="26"/>
      <c r="O247" s="13" t="s">
        <v>51</v>
      </c>
      <c r="P247" s="13" t="s">
        <v>42</v>
      </c>
      <c r="Q247" s="18"/>
      <c r="R247" s="21"/>
      <c r="S247" s="22"/>
      <c r="T247" s="23"/>
      <c r="U247" s="23"/>
      <c r="V247" s="23"/>
      <c r="W247" s="23"/>
      <c r="X247" s="23"/>
      <c r="Y247" s="24"/>
      <c r="Z247" s="23"/>
      <c r="AA247" s="23"/>
      <c r="AB247" s="23"/>
      <c r="AC247" s="23"/>
    </row>
    <row r="248" ht="32.25" customHeight="1">
      <c r="A248" s="27" t="s">
        <v>762</v>
      </c>
      <c r="B248" s="27" t="s">
        <v>492</v>
      </c>
      <c r="C248" s="27" t="s">
        <v>416</v>
      </c>
      <c r="D248" s="27" t="s">
        <v>409</v>
      </c>
      <c r="E248" s="27" t="s">
        <v>763</v>
      </c>
      <c r="F248" s="37"/>
      <c r="G248" s="27" t="s">
        <v>49</v>
      </c>
      <c r="H248" s="29">
        <v>45008.0</v>
      </c>
      <c r="I248" s="36"/>
      <c r="J248" s="29">
        <v>45356.0</v>
      </c>
      <c r="K248" s="30">
        <f t="shared" si="2"/>
        <v>348</v>
      </c>
      <c r="L248" s="27" t="s">
        <v>64</v>
      </c>
      <c r="M248" s="41"/>
      <c r="N248" s="33"/>
      <c r="O248" s="27" t="s">
        <v>257</v>
      </c>
      <c r="P248" s="27"/>
      <c r="Q248" s="41"/>
      <c r="R248" s="35"/>
      <c r="S248" s="36"/>
      <c r="T248" s="37"/>
      <c r="U248" s="37"/>
      <c r="V248" s="37"/>
      <c r="W248" s="37"/>
      <c r="X248" s="37"/>
      <c r="Y248" s="38"/>
      <c r="Z248" s="37"/>
      <c r="AA248" s="37"/>
      <c r="AB248" s="37"/>
      <c r="AC248" s="37"/>
    </row>
    <row r="249" ht="32.25" customHeight="1">
      <c r="A249" s="13" t="s">
        <v>764</v>
      </c>
      <c r="B249" s="13" t="s">
        <v>765</v>
      </c>
      <c r="C249" s="13" t="s">
        <v>84</v>
      </c>
      <c r="D249" s="13" t="s">
        <v>35</v>
      </c>
      <c r="E249" s="13" t="s">
        <v>702</v>
      </c>
      <c r="F249" s="23"/>
      <c r="G249" s="13" t="s">
        <v>49</v>
      </c>
      <c r="H249" s="15">
        <v>45724.0</v>
      </c>
      <c r="I249" s="22"/>
      <c r="J249" s="15">
        <v>45775.0</v>
      </c>
      <c r="K249" s="17">
        <f t="shared" si="2"/>
        <v>51</v>
      </c>
      <c r="L249" s="13" t="s">
        <v>40</v>
      </c>
      <c r="M249" s="18"/>
      <c r="N249" s="26"/>
      <c r="O249" s="13" t="s">
        <v>41</v>
      </c>
      <c r="P249" s="13"/>
      <c r="Q249" s="18"/>
      <c r="R249" s="21"/>
      <c r="S249" s="22"/>
      <c r="T249" s="23"/>
      <c r="U249" s="23"/>
      <c r="V249" s="23"/>
      <c r="W249" s="23"/>
      <c r="X249" s="23"/>
      <c r="Y249" s="24"/>
      <c r="Z249" s="23"/>
      <c r="AA249" s="23"/>
      <c r="AB249" s="23"/>
      <c r="AC249" s="23"/>
    </row>
    <row r="250" ht="32.25" customHeight="1">
      <c r="A250" s="27" t="s">
        <v>766</v>
      </c>
      <c r="B250" s="27" t="s">
        <v>767</v>
      </c>
      <c r="C250" s="27" t="s">
        <v>416</v>
      </c>
      <c r="D250" s="27" t="s">
        <v>409</v>
      </c>
      <c r="E250" s="27" t="s">
        <v>768</v>
      </c>
      <c r="F250" s="37"/>
      <c r="G250" s="31" t="s">
        <v>38</v>
      </c>
      <c r="H250" s="29">
        <v>45813.0</v>
      </c>
      <c r="I250" s="36"/>
      <c r="J250" s="29">
        <v>45935.0</v>
      </c>
      <c r="K250" s="30">
        <f t="shared" si="2"/>
        <v>122</v>
      </c>
      <c r="L250" s="27" t="s">
        <v>40</v>
      </c>
      <c r="M250" s="41"/>
      <c r="N250" s="33"/>
      <c r="O250" s="27" t="s">
        <v>51</v>
      </c>
      <c r="P250" s="27"/>
      <c r="Q250" s="41"/>
      <c r="R250" s="35"/>
      <c r="S250" s="36"/>
      <c r="T250" s="37"/>
      <c r="U250" s="37"/>
      <c r="V250" s="37"/>
      <c r="W250" s="37"/>
      <c r="X250" s="37"/>
      <c r="Y250" s="38"/>
      <c r="Z250" s="37"/>
      <c r="AA250" s="37"/>
      <c r="AB250" s="37"/>
      <c r="AC250" s="37"/>
    </row>
    <row r="251" ht="21.75" customHeight="1">
      <c r="A251" s="13" t="s">
        <v>769</v>
      </c>
      <c r="B251" s="13" t="s">
        <v>405</v>
      </c>
      <c r="C251" s="13" t="s">
        <v>84</v>
      </c>
      <c r="D251" s="13" t="s">
        <v>35</v>
      </c>
      <c r="E251" s="13" t="s">
        <v>738</v>
      </c>
      <c r="F251" s="23"/>
      <c r="G251" s="13" t="s">
        <v>38</v>
      </c>
      <c r="H251" s="16">
        <v>46104.0</v>
      </c>
      <c r="I251" s="22"/>
      <c r="J251" s="16">
        <v>46326.0</v>
      </c>
      <c r="K251" s="17">
        <f t="shared" si="2"/>
        <v>222</v>
      </c>
      <c r="L251" s="13" t="s">
        <v>40</v>
      </c>
      <c r="M251" s="18"/>
      <c r="N251" s="26"/>
      <c r="O251" s="13" t="s">
        <v>81</v>
      </c>
      <c r="P251" s="13"/>
      <c r="Q251" s="18"/>
      <c r="R251" s="21"/>
      <c r="S251" s="22"/>
      <c r="T251" s="23"/>
      <c r="U251" s="23"/>
      <c r="V251" s="23"/>
      <c r="W251" s="23"/>
      <c r="X251" s="23"/>
      <c r="Y251" s="24"/>
      <c r="Z251" s="23"/>
      <c r="AA251" s="23"/>
      <c r="AB251" s="23"/>
      <c r="AC251" s="23"/>
    </row>
    <row r="252" ht="15.0" customHeight="1">
      <c r="A252" s="27" t="s">
        <v>770</v>
      </c>
      <c r="B252" s="27" t="s">
        <v>771</v>
      </c>
      <c r="C252" s="27" t="s">
        <v>408</v>
      </c>
      <c r="D252" s="27" t="s">
        <v>409</v>
      </c>
      <c r="E252" s="27" t="s">
        <v>559</v>
      </c>
      <c r="F252" s="37"/>
      <c r="G252" s="27" t="s">
        <v>49</v>
      </c>
      <c r="H252" s="29">
        <v>45763.0</v>
      </c>
      <c r="I252" s="36"/>
      <c r="J252" s="29">
        <v>45815.0</v>
      </c>
      <c r="K252" s="30">
        <f t="shared" si="2"/>
        <v>52</v>
      </c>
      <c r="L252" s="27" t="s">
        <v>40</v>
      </c>
      <c r="M252" s="41"/>
      <c r="N252" s="33"/>
      <c r="O252" s="27"/>
      <c r="P252" s="27"/>
      <c r="Q252" s="41"/>
      <c r="R252" s="35"/>
      <c r="S252" s="36"/>
      <c r="T252" s="37"/>
      <c r="U252" s="37"/>
      <c r="V252" s="37"/>
      <c r="W252" s="37"/>
      <c r="X252" s="37"/>
      <c r="Y252" s="38"/>
      <c r="Z252" s="37"/>
      <c r="AA252" s="37"/>
      <c r="AB252" s="37"/>
      <c r="AC252" s="37"/>
    </row>
    <row r="253" ht="21.75" customHeight="1">
      <c r="A253" s="13" t="s">
        <v>772</v>
      </c>
      <c r="B253" s="13" t="s">
        <v>773</v>
      </c>
      <c r="C253" s="13" t="s">
        <v>84</v>
      </c>
      <c r="D253" s="13" t="s">
        <v>35</v>
      </c>
      <c r="E253" s="13" t="s">
        <v>319</v>
      </c>
      <c r="F253" s="14" t="s">
        <v>37</v>
      </c>
      <c r="G253" s="13" t="s">
        <v>49</v>
      </c>
      <c r="H253" s="15">
        <v>45767.0</v>
      </c>
      <c r="I253" s="22"/>
      <c r="J253" s="15">
        <v>45960.0</v>
      </c>
      <c r="K253" s="17">
        <f t="shared" si="2"/>
        <v>193</v>
      </c>
      <c r="L253" s="13" t="s">
        <v>64</v>
      </c>
      <c r="M253" s="25" t="s">
        <v>774</v>
      </c>
      <c r="N253" s="26"/>
      <c r="O253" s="20" t="s">
        <v>51</v>
      </c>
      <c r="P253" s="13"/>
      <c r="Q253" s="40" t="s">
        <v>775</v>
      </c>
      <c r="R253" s="21"/>
      <c r="S253" s="22"/>
      <c r="T253" s="23"/>
      <c r="U253" s="23"/>
      <c r="V253" s="23"/>
      <c r="W253" s="23"/>
      <c r="X253" s="23"/>
      <c r="Y253" s="24"/>
      <c r="Z253" s="23"/>
      <c r="AA253" s="23"/>
      <c r="AB253" s="23"/>
      <c r="AC253" s="23"/>
    </row>
    <row r="254" ht="21.75" customHeight="1">
      <c r="A254" s="27" t="s">
        <v>776</v>
      </c>
      <c r="B254" s="27" t="s">
        <v>777</v>
      </c>
      <c r="C254" s="27" t="s">
        <v>84</v>
      </c>
      <c r="D254" s="27" t="s">
        <v>35</v>
      </c>
      <c r="E254" s="27" t="s">
        <v>319</v>
      </c>
      <c r="F254" s="28" t="s">
        <v>37</v>
      </c>
      <c r="G254" s="27" t="s">
        <v>399</v>
      </c>
      <c r="H254" s="29">
        <v>45826.0</v>
      </c>
      <c r="I254" s="36"/>
      <c r="J254" s="29">
        <v>45899.0</v>
      </c>
      <c r="K254" s="30">
        <f t="shared" si="2"/>
        <v>73</v>
      </c>
      <c r="L254" s="27" t="s">
        <v>56</v>
      </c>
      <c r="M254" s="41"/>
      <c r="N254" s="33"/>
      <c r="O254" s="27"/>
      <c r="P254" s="27"/>
      <c r="Q254" s="41"/>
      <c r="R254" s="35"/>
      <c r="S254" s="36"/>
      <c r="T254" s="37"/>
      <c r="U254" s="37"/>
      <c r="V254" s="37"/>
      <c r="W254" s="37"/>
      <c r="X254" s="37"/>
      <c r="Y254" s="38"/>
      <c r="Z254" s="37"/>
      <c r="AA254" s="37"/>
      <c r="AB254" s="37"/>
      <c r="AC254" s="37"/>
    </row>
    <row r="255" ht="21.75" customHeight="1">
      <c r="A255" s="13" t="s">
        <v>778</v>
      </c>
      <c r="B255" s="13" t="s">
        <v>405</v>
      </c>
      <c r="C255" s="13" t="s">
        <v>84</v>
      </c>
      <c r="D255" s="13" t="s">
        <v>35</v>
      </c>
      <c r="E255" s="13" t="s">
        <v>738</v>
      </c>
      <c r="F255" s="23"/>
      <c r="G255" s="13" t="s">
        <v>38</v>
      </c>
      <c r="H255" s="15">
        <v>45986.0</v>
      </c>
      <c r="I255" s="22"/>
      <c r="J255" s="15">
        <v>46173.0</v>
      </c>
      <c r="K255" s="17">
        <f t="shared" si="2"/>
        <v>187</v>
      </c>
      <c r="L255" s="13" t="s">
        <v>40</v>
      </c>
      <c r="M255" s="18"/>
      <c r="N255" s="26"/>
      <c r="O255" s="13" t="s">
        <v>81</v>
      </c>
      <c r="P255" s="13"/>
      <c r="Q255" s="18"/>
      <c r="R255" s="21"/>
      <c r="S255" s="22"/>
      <c r="T255" s="23"/>
      <c r="U255" s="23"/>
      <c r="V255" s="23"/>
      <c r="W255" s="23"/>
      <c r="X255" s="23"/>
      <c r="Y255" s="24"/>
      <c r="Z255" s="23"/>
      <c r="AA255" s="23"/>
      <c r="AB255" s="23"/>
      <c r="AC255" s="23"/>
    </row>
    <row r="256" ht="21.75" customHeight="1">
      <c r="A256" s="27" t="s">
        <v>779</v>
      </c>
      <c r="B256" s="27" t="s">
        <v>405</v>
      </c>
      <c r="C256" s="27" t="s">
        <v>84</v>
      </c>
      <c r="D256" s="27" t="s">
        <v>35</v>
      </c>
      <c r="E256" s="27" t="s">
        <v>738</v>
      </c>
      <c r="F256" s="37"/>
      <c r="G256" s="27" t="s">
        <v>38</v>
      </c>
      <c r="H256" s="50">
        <v>46080.0</v>
      </c>
      <c r="I256" s="36"/>
      <c r="J256" s="50">
        <v>46387.0</v>
      </c>
      <c r="K256" s="30">
        <f t="shared" si="2"/>
        <v>307</v>
      </c>
      <c r="L256" s="27" t="s">
        <v>40</v>
      </c>
      <c r="M256" s="41"/>
      <c r="N256" s="33"/>
      <c r="O256" s="27" t="s">
        <v>81</v>
      </c>
      <c r="P256" s="27"/>
      <c r="Q256" s="41"/>
      <c r="R256" s="35"/>
      <c r="S256" s="36"/>
      <c r="T256" s="37"/>
      <c r="U256" s="37"/>
      <c r="V256" s="37"/>
      <c r="W256" s="37"/>
      <c r="X256" s="37"/>
      <c r="Y256" s="38"/>
      <c r="Z256" s="37"/>
      <c r="AA256" s="37"/>
      <c r="AB256" s="37"/>
      <c r="AC256" s="37"/>
    </row>
    <row r="257" ht="21.75" customHeight="1">
      <c r="A257" s="13" t="s">
        <v>780</v>
      </c>
      <c r="B257" s="13" t="s">
        <v>318</v>
      </c>
      <c r="C257" s="13" t="s">
        <v>84</v>
      </c>
      <c r="D257" s="13" t="s">
        <v>35</v>
      </c>
      <c r="E257" s="13" t="s">
        <v>319</v>
      </c>
      <c r="F257" s="14" t="s">
        <v>37</v>
      </c>
      <c r="G257" s="13" t="s">
        <v>49</v>
      </c>
      <c r="H257" s="15">
        <v>45807.0</v>
      </c>
      <c r="I257" s="22"/>
      <c r="J257" s="15">
        <v>45835.0</v>
      </c>
      <c r="K257" s="17">
        <f t="shared" si="2"/>
        <v>28</v>
      </c>
      <c r="L257" s="13" t="s">
        <v>745</v>
      </c>
      <c r="M257" s="25" t="s">
        <v>781</v>
      </c>
      <c r="N257" s="26"/>
      <c r="O257" s="13"/>
      <c r="P257" s="13"/>
      <c r="Q257" s="18"/>
      <c r="R257" s="21"/>
      <c r="S257" s="22"/>
      <c r="T257" s="23"/>
      <c r="U257" s="23"/>
      <c r="V257" s="23"/>
      <c r="W257" s="23"/>
      <c r="X257" s="23"/>
      <c r="Y257" s="24"/>
      <c r="Z257" s="23"/>
      <c r="AA257" s="23"/>
      <c r="AB257" s="23"/>
      <c r="AC257" s="23"/>
    </row>
    <row r="258" ht="32.25" customHeight="1">
      <c r="A258" s="27" t="s">
        <v>782</v>
      </c>
      <c r="B258" s="27" t="s">
        <v>322</v>
      </c>
      <c r="C258" s="27" t="s">
        <v>84</v>
      </c>
      <c r="D258" s="27" t="s">
        <v>35</v>
      </c>
      <c r="E258" s="27" t="s">
        <v>319</v>
      </c>
      <c r="F258" s="28" t="s">
        <v>37</v>
      </c>
      <c r="G258" s="31" t="s">
        <v>75</v>
      </c>
      <c r="H258" s="29">
        <v>45719.0</v>
      </c>
      <c r="I258" s="36"/>
      <c r="J258" s="29">
        <v>45882.0</v>
      </c>
      <c r="K258" s="30">
        <f t="shared" si="2"/>
        <v>163</v>
      </c>
      <c r="L258" s="27" t="s">
        <v>56</v>
      </c>
      <c r="M258" s="32" t="s">
        <v>783</v>
      </c>
      <c r="N258" s="33"/>
      <c r="O258" s="31" t="s">
        <v>51</v>
      </c>
      <c r="P258" s="27"/>
      <c r="Q258" s="32"/>
      <c r="R258" s="35"/>
      <c r="S258" s="36"/>
      <c r="T258" s="37"/>
      <c r="U258" s="37"/>
      <c r="V258" s="37"/>
      <c r="W258" s="37"/>
      <c r="X258" s="37"/>
      <c r="Y258" s="38"/>
      <c r="Z258" s="37"/>
      <c r="AA258" s="37"/>
      <c r="AB258" s="37"/>
      <c r="AC258" s="37"/>
    </row>
    <row r="259" ht="42.0" customHeight="1">
      <c r="A259" s="13" t="s">
        <v>784</v>
      </c>
      <c r="B259" s="13" t="s">
        <v>785</v>
      </c>
      <c r="C259" s="13" t="s">
        <v>84</v>
      </c>
      <c r="D259" s="13" t="s">
        <v>35</v>
      </c>
      <c r="E259" s="13" t="s">
        <v>319</v>
      </c>
      <c r="F259" s="14" t="s">
        <v>37</v>
      </c>
      <c r="G259" s="13" t="s">
        <v>75</v>
      </c>
      <c r="H259" s="15">
        <v>45870.0</v>
      </c>
      <c r="I259" s="22"/>
      <c r="J259" s="20" t="s">
        <v>786</v>
      </c>
      <c r="K259" s="17" t="str">
        <f t="shared" si="2"/>
        <v>#VALUE!</v>
      </c>
      <c r="L259" s="13" t="s">
        <v>56</v>
      </c>
      <c r="M259" s="25" t="s">
        <v>787</v>
      </c>
      <c r="N259" s="26"/>
      <c r="O259" s="13" t="s">
        <v>51</v>
      </c>
      <c r="P259" s="13"/>
      <c r="Q259" s="18"/>
      <c r="R259" s="21"/>
      <c r="S259" s="22"/>
      <c r="T259" s="23"/>
      <c r="U259" s="23"/>
      <c r="V259" s="23"/>
      <c r="W259" s="23"/>
      <c r="X259" s="23"/>
      <c r="Y259" s="24"/>
      <c r="Z259" s="23"/>
      <c r="AA259" s="23"/>
      <c r="AB259" s="23"/>
      <c r="AC259" s="23"/>
    </row>
    <row r="260" ht="32.25" customHeight="1">
      <c r="A260" s="27" t="s">
        <v>788</v>
      </c>
      <c r="B260" s="27" t="s">
        <v>789</v>
      </c>
      <c r="C260" s="27" t="s">
        <v>84</v>
      </c>
      <c r="D260" s="27" t="s">
        <v>35</v>
      </c>
      <c r="E260" s="27" t="s">
        <v>379</v>
      </c>
      <c r="F260" s="37"/>
      <c r="G260" s="27" t="s">
        <v>75</v>
      </c>
      <c r="H260" s="29"/>
      <c r="I260" s="36"/>
      <c r="J260" s="29"/>
      <c r="K260" s="30" t="str">
        <f t="shared" si="2"/>
        <v/>
      </c>
      <c r="L260" s="27" t="s">
        <v>64</v>
      </c>
      <c r="M260" s="41"/>
      <c r="N260" s="33"/>
      <c r="O260" s="27" t="s">
        <v>257</v>
      </c>
      <c r="P260" s="27"/>
      <c r="Q260" s="41"/>
      <c r="R260" s="35"/>
      <c r="S260" s="36"/>
      <c r="T260" s="37"/>
      <c r="U260" s="37"/>
      <c r="V260" s="37"/>
      <c r="W260" s="37"/>
      <c r="X260" s="37"/>
      <c r="Y260" s="38"/>
      <c r="Z260" s="37"/>
      <c r="AA260" s="37"/>
      <c r="AB260" s="37"/>
      <c r="AC260" s="37"/>
    </row>
    <row r="261" ht="32.25" customHeight="1">
      <c r="A261" s="20" t="s">
        <v>790</v>
      </c>
      <c r="B261" s="13" t="s">
        <v>791</v>
      </c>
      <c r="C261" s="13" t="s">
        <v>186</v>
      </c>
      <c r="D261" s="13" t="s">
        <v>35</v>
      </c>
      <c r="E261" s="13" t="s">
        <v>274</v>
      </c>
      <c r="F261" s="14" t="s">
        <v>86</v>
      </c>
      <c r="G261" s="20" t="s">
        <v>163</v>
      </c>
      <c r="H261" s="15">
        <v>45912.0</v>
      </c>
      <c r="I261" s="22"/>
      <c r="J261" s="15"/>
      <c r="K261" s="17" t="str">
        <f t="shared" si="2"/>
        <v/>
      </c>
      <c r="L261" s="13" t="s">
        <v>40</v>
      </c>
      <c r="M261" s="25" t="s">
        <v>792</v>
      </c>
      <c r="N261" s="26"/>
      <c r="O261" s="13" t="s">
        <v>81</v>
      </c>
      <c r="P261" s="13"/>
      <c r="Q261" s="18"/>
      <c r="R261" s="21"/>
      <c r="S261" s="22"/>
      <c r="T261" s="23"/>
      <c r="U261" s="23"/>
      <c r="V261" s="23"/>
      <c r="W261" s="23"/>
      <c r="X261" s="23"/>
      <c r="Y261" s="24"/>
      <c r="Z261" s="23"/>
      <c r="AA261" s="14" t="s">
        <v>104</v>
      </c>
      <c r="AB261" s="14" t="s">
        <v>59</v>
      </c>
      <c r="AC261" s="23"/>
    </row>
    <row r="262" ht="32.25" customHeight="1">
      <c r="A262" s="27" t="s">
        <v>793</v>
      </c>
      <c r="B262" s="27" t="s">
        <v>794</v>
      </c>
      <c r="C262" s="27" t="s">
        <v>186</v>
      </c>
      <c r="D262" s="27" t="s">
        <v>35</v>
      </c>
      <c r="E262" s="27" t="s">
        <v>274</v>
      </c>
      <c r="F262" s="28" t="s">
        <v>86</v>
      </c>
      <c r="G262" s="31" t="s">
        <v>163</v>
      </c>
      <c r="H262" s="29">
        <v>45912.0</v>
      </c>
      <c r="I262" s="36"/>
      <c r="J262" s="29"/>
      <c r="K262" s="30" t="str">
        <f t="shared" si="2"/>
        <v/>
      </c>
      <c r="L262" s="27" t="s">
        <v>40</v>
      </c>
      <c r="M262" s="32" t="s">
        <v>792</v>
      </c>
      <c r="N262" s="33"/>
      <c r="O262" s="27" t="s">
        <v>81</v>
      </c>
      <c r="P262" s="27"/>
      <c r="Q262" s="41"/>
      <c r="R262" s="35"/>
      <c r="S262" s="36"/>
      <c r="T262" s="37"/>
      <c r="U262" s="37"/>
      <c r="V262" s="37"/>
      <c r="W262" s="37"/>
      <c r="X262" s="37"/>
      <c r="Y262" s="38"/>
      <c r="Z262" s="37"/>
      <c r="AA262" s="28" t="s">
        <v>104</v>
      </c>
      <c r="AB262" s="28" t="s">
        <v>59</v>
      </c>
      <c r="AC262" s="37"/>
    </row>
    <row r="263" ht="32.25" customHeight="1">
      <c r="A263" s="13" t="s">
        <v>795</v>
      </c>
      <c r="B263" s="13" t="s">
        <v>796</v>
      </c>
      <c r="C263" s="13" t="s">
        <v>186</v>
      </c>
      <c r="D263" s="13" t="s">
        <v>35</v>
      </c>
      <c r="E263" s="13" t="s">
        <v>274</v>
      </c>
      <c r="F263" s="14" t="s">
        <v>86</v>
      </c>
      <c r="G263" s="20" t="s">
        <v>163</v>
      </c>
      <c r="H263" s="15">
        <v>45912.0</v>
      </c>
      <c r="I263" s="22"/>
      <c r="J263" s="15"/>
      <c r="K263" s="17" t="str">
        <f t="shared" si="2"/>
        <v/>
      </c>
      <c r="L263" s="13" t="s">
        <v>40</v>
      </c>
      <c r="M263" s="25" t="s">
        <v>792</v>
      </c>
      <c r="N263" s="26"/>
      <c r="O263" s="13" t="s">
        <v>81</v>
      </c>
      <c r="P263" s="13"/>
      <c r="Q263" s="18"/>
      <c r="R263" s="21"/>
      <c r="S263" s="22"/>
      <c r="T263" s="23"/>
      <c r="U263" s="23"/>
      <c r="V263" s="23"/>
      <c r="W263" s="23"/>
      <c r="X263" s="23"/>
      <c r="Y263" s="24"/>
      <c r="Z263" s="23"/>
      <c r="AA263" s="14" t="s">
        <v>104</v>
      </c>
      <c r="AB263" s="14" t="s">
        <v>59</v>
      </c>
      <c r="AC263" s="23"/>
    </row>
    <row r="264" ht="32.25" customHeight="1">
      <c r="A264" s="27" t="s">
        <v>797</v>
      </c>
      <c r="B264" s="27" t="s">
        <v>798</v>
      </c>
      <c r="C264" s="27" t="s">
        <v>84</v>
      </c>
      <c r="D264" s="27" t="s">
        <v>35</v>
      </c>
      <c r="E264" s="27" t="s">
        <v>799</v>
      </c>
      <c r="F264" s="37"/>
      <c r="G264" s="27" t="s">
        <v>49</v>
      </c>
      <c r="H264" s="29">
        <v>45835.0</v>
      </c>
      <c r="I264" s="36"/>
      <c r="J264" s="29">
        <v>45923.0</v>
      </c>
      <c r="K264" s="30">
        <f t="shared" si="2"/>
        <v>88</v>
      </c>
      <c r="L264" s="27" t="s">
        <v>40</v>
      </c>
      <c r="M264" s="41"/>
      <c r="N264" s="33"/>
      <c r="O264" s="27" t="s">
        <v>41</v>
      </c>
      <c r="P264" s="27"/>
      <c r="Q264" s="41"/>
      <c r="R264" s="35"/>
      <c r="S264" s="36"/>
      <c r="T264" s="37"/>
      <c r="U264" s="37"/>
      <c r="V264" s="37"/>
      <c r="W264" s="37"/>
      <c r="X264" s="37"/>
      <c r="Y264" s="38"/>
      <c r="Z264" s="37"/>
      <c r="AA264" s="37"/>
      <c r="AB264" s="37"/>
      <c r="AC264" s="37"/>
    </row>
    <row r="265" ht="21.75" customHeight="1">
      <c r="A265" s="13" t="s">
        <v>800</v>
      </c>
      <c r="B265" s="13" t="s">
        <v>801</v>
      </c>
      <c r="C265" s="13" t="s">
        <v>416</v>
      </c>
      <c r="D265" s="13" t="s">
        <v>409</v>
      </c>
      <c r="E265" s="13" t="s">
        <v>590</v>
      </c>
      <c r="F265" s="14" t="s">
        <v>86</v>
      </c>
      <c r="G265" s="20" t="s">
        <v>49</v>
      </c>
      <c r="H265" s="15">
        <v>45779.0</v>
      </c>
      <c r="I265" s="22"/>
      <c r="J265" s="15">
        <v>45910.0</v>
      </c>
      <c r="K265" s="17">
        <f t="shared" si="2"/>
        <v>131</v>
      </c>
      <c r="L265" s="13" t="s">
        <v>64</v>
      </c>
      <c r="M265" s="18"/>
      <c r="N265" s="26"/>
      <c r="O265" s="20" t="s">
        <v>257</v>
      </c>
      <c r="P265" s="13"/>
      <c r="Q265" s="18"/>
      <c r="R265" s="21"/>
      <c r="S265" s="22"/>
      <c r="T265" s="23"/>
      <c r="U265" s="23"/>
      <c r="V265" s="23"/>
      <c r="W265" s="23"/>
      <c r="X265" s="23"/>
      <c r="Y265" s="24"/>
      <c r="Z265" s="23"/>
      <c r="AA265" s="23"/>
      <c r="AB265" s="23"/>
      <c r="AC265" s="23"/>
    </row>
    <row r="266" ht="32.25" customHeight="1">
      <c r="A266" s="27" t="s">
        <v>802</v>
      </c>
      <c r="B266" s="27" t="s">
        <v>803</v>
      </c>
      <c r="C266" s="27" t="s">
        <v>84</v>
      </c>
      <c r="D266" s="27" t="s">
        <v>35</v>
      </c>
      <c r="E266" s="27" t="s">
        <v>799</v>
      </c>
      <c r="F266" s="37"/>
      <c r="G266" s="27" t="s">
        <v>49</v>
      </c>
      <c r="H266" s="29">
        <v>45825.0</v>
      </c>
      <c r="I266" s="36"/>
      <c r="J266" s="29">
        <v>45924.0</v>
      </c>
      <c r="K266" s="30">
        <f t="shared" si="2"/>
        <v>99</v>
      </c>
      <c r="L266" s="27" t="s">
        <v>40</v>
      </c>
      <c r="M266" s="41"/>
      <c r="N266" s="33"/>
      <c r="O266" s="27" t="s">
        <v>51</v>
      </c>
      <c r="P266" s="27"/>
      <c r="Q266" s="41"/>
      <c r="R266" s="35"/>
      <c r="S266" s="36"/>
      <c r="T266" s="37"/>
      <c r="U266" s="37"/>
      <c r="V266" s="37"/>
      <c r="W266" s="37"/>
      <c r="X266" s="37"/>
      <c r="Y266" s="38"/>
      <c r="Z266" s="37"/>
      <c r="AA266" s="37"/>
      <c r="AB266" s="37"/>
      <c r="AC266" s="37"/>
    </row>
    <row r="267" ht="32.25" customHeight="1">
      <c r="A267" s="13" t="s">
        <v>804</v>
      </c>
      <c r="B267" s="13" t="s">
        <v>805</v>
      </c>
      <c r="C267" s="13" t="s">
        <v>84</v>
      </c>
      <c r="D267" s="13" t="s">
        <v>35</v>
      </c>
      <c r="E267" s="13" t="s">
        <v>799</v>
      </c>
      <c r="F267" s="23"/>
      <c r="G267" s="13" t="s">
        <v>49</v>
      </c>
      <c r="H267" s="15">
        <v>45861.0</v>
      </c>
      <c r="I267" s="22"/>
      <c r="J267" s="15"/>
      <c r="K267" s="17" t="str">
        <f t="shared" si="2"/>
        <v/>
      </c>
      <c r="L267" s="13" t="s">
        <v>64</v>
      </c>
      <c r="M267" s="18"/>
      <c r="N267" s="26"/>
      <c r="O267" s="13" t="s">
        <v>257</v>
      </c>
      <c r="P267" s="13"/>
      <c r="Q267" s="18"/>
      <c r="R267" s="21"/>
      <c r="S267" s="22"/>
      <c r="T267" s="23"/>
      <c r="U267" s="23"/>
      <c r="V267" s="23"/>
      <c r="W267" s="23"/>
      <c r="X267" s="23"/>
      <c r="Y267" s="24"/>
      <c r="Z267" s="23"/>
      <c r="AA267" s="23"/>
      <c r="AB267" s="23"/>
      <c r="AC267" s="23"/>
    </row>
    <row r="268" ht="21.75" customHeight="1">
      <c r="A268" s="27" t="s">
        <v>806</v>
      </c>
      <c r="B268" s="27" t="s">
        <v>807</v>
      </c>
      <c r="C268" s="27" t="s">
        <v>416</v>
      </c>
      <c r="D268" s="27" t="s">
        <v>409</v>
      </c>
      <c r="E268" s="27" t="s">
        <v>808</v>
      </c>
      <c r="F268" s="37"/>
      <c r="G268" s="31" t="s">
        <v>163</v>
      </c>
      <c r="H268" s="29">
        <v>45927.0</v>
      </c>
      <c r="I268" s="36"/>
      <c r="J268" s="29"/>
      <c r="K268" s="30" t="str">
        <f t="shared" si="2"/>
        <v/>
      </c>
      <c r="L268" s="27" t="s">
        <v>40</v>
      </c>
      <c r="M268" s="41"/>
      <c r="N268" s="33"/>
      <c r="O268" s="27" t="s">
        <v>41</v>
      </c>
      <c r="P268" s="27"/>
      <c r="Q268" s="41"/>
      <c r="R268" s="35"/>
      <c r="S268" s="36"/>
      <c r="T268" s="37"/>
      <c r="U268" s="37"/>
      <c r="V268" s="37"/>
      <c r="W268" s="37"/>
      <c r="X268" s="37"/>
      <c r="Y268" s="38"/>
      <c r="Z268" s="37"/>
      <c r="AA268" s="37"/>
      <c r="AB268" s="37"/>
      <c r="AC268" s="37"/>
    </row>
    <row r="269" ht="21.75" customHeight="1">
      <c r="A269" s="13" t="s">
        <v>552</v>
      </c>
      <c r="B269" s="13" t="s">
        <v>809</v>
      </c>
      <c r="C269" s="13" t="s">
        <v>408</v>
      </c>
      <c r="D269" s="13" t="s">
        <v>409</v>
      </c>
      <c r="E269" s="13" t="s">
        <v>643</v>
      </c>
      <c r="F269" s="23"/>
      <c r="G269" s="13" t="s">
        <v>49</v>
      </c>
      <c r="H269" s="15">
        <v>45778.0</v>
      </c>
      <c r="I269" s="22"/>
      <c r="J269" s="15">
        <v>45859.0</v>
      </c>
      <c r="K269" s="17">
        <f t="shared" si="2"/>
        <v>81</v>
      </c>
      <c r="L269" s="13" t="s">
        <v>64</v>
      </c>
      <c r="M269" s="18"/>
      <c r="N269" s="26"/>
      <c r="O269" s="13" t="s">
        <v>257</v>
      </c>
      <c r="P269" s="13"/>
      <c r="Q269" s="18"/>
      <c r="R269" s="21"/>
      <c r="S269" s="22"/>
      <c r="T269" s="23"/>
      <c r="U269" s="23"/>
      <c r="V269" s="23"/>
      <c r="W269" s="23"/>
      <c r="X269" s="23"/>
      <c r="Y269" s="24"/>
      <c r="Z269" s="23"/>
      <c r="AA269" s="23"/>
      <c r="AB269" s="23"/>
      <c r="AC269" s="23"/>
    </row>
    <row r="270" ht="32.25" customHeight="1">
      <c r="A270" s="27" t="s">
        <v>810</v>
      </c>
      <c r="B270" s="27" t="s">
        <v>811</v>
      </c>
      <c r="C270" s="27" t="s">
        <v>84</v>
      </c>
      <c r="D270" s="27" t="s">
        <v>35</v>
      </c>
      <c r="E270" s="27" t="s">
        <v>799</v>
      </c>
      <c r="F270" s="37"/>
      <c r="G270" s="27" t="s">
        <v>75</v>
      </c>
      <c r="H270" s="29">
        <v>45838.0</v>
      </c>
      <c r="I270" s="36"/>
      <c r="J270" s="29"/>
      <c r="K270" s="30" t="str">
        <f t="shared" si="2"/>
        <v/>
      </c>
      <c r="L270" s="27" t="s">
        <v>56</v>
      </c>
      <c r="M270" s="41"/>
      <c r="N270" s="33"/>
      <c r="O270" s="27" t="s">
        <v>257</v>
      </c>
      <c r="P270" s="27"/>
      <c r="Q270" s="41"/>
      <c r="R270" s="35"/>
      <c r="S270" s="36"/>
      <c r="T270" s="37"/>
      <c r="U270" s="37"/>
      <c r="V270" s="37"/>
      <c r="W270" s="37"/>
      <c r="X270" s="37"/>
      <c r="Y270" s="38"/>
      <c r="Z270" s="37"/>
      <c r="AA270" s="37"/>
      <c r="AB270" s="37"/>
      <c r="AC270" s="37"/>
    </row>
    <row r="271" ht="32.25" customHeight="1">
      <c r="A271" s="13" t="s">
        <v>812</v>
      </c>
      <c r="B271" s="13" t="s">
        <v>813</v>
      </c>
      <c r="C271" s="13" t="s">
        <v>84</v>
      </c>
      <c r="D271" s="13" t="s">
        <v>35</v>
      </c>
      <c r="E271" s="13" t="s">
        <v>799</v>
      </c>
      <c r="F271" s="14" t="s">
        <v>86</v>
      </c>
      <c r="G271" s="13" t="s">
        <v>38</v>
      </c>
      <c r="H271" s="15">
        <v>45881.0</v>
      </c>
      <c r="I271" s="22"/>
      <c r="J271" s="15"/>
      <c r="K271" s="17" t="str">
        <f t="shared" si="2"/>
        <v/>
      </c>
      <c r="L271" s="13" t="s">
        <v>40</v>
      </c>
      <c r="M271" s="18"/>
      <c r="N271" s="26"/>
      <c r="O271" s="13" t="s">
        <v>81</v>
      </c>
      <c r="P271" s="13"/>
      <c r="Q271" s="18"/>
      <c r="R271" s="21"/>
      <c r="S271" s="22"/>
      <c r="T271" s="23"/>
      <c r="U271" s="23"/>
      <c r="V271" s="23"/>
      <c r="W271" s="23"/>
      <c r="X271" s="23"/>
      <c r="Y271" s="24"/>
      <c r="Z271" s="23"/>
      <c r="AA271" s="23"/>
      <c r="AB271" s="23"/>
      <c r="AC271" s="23"/>
    </row>
    <row r="272" ht="42.75" customHeight="1">
      <c r="A272" s="27" t="s">
        <v>814</v>
      </c>
      <c r="B272" s="27" t="s">
        <v>815</v>
      </c>
      <c r="C272" s="27" t="s">
        <v>34</v>
      </c>
      <c r="D272" s="27" t="s">
        <v>35</v>
      </c>
      <c r="E272" s="27" t="s">
        <v>816</v>
      </c>
      <c r="F272" s="28" t="s">
        <v>37</v>
      </c>
      <c r="G272" s="27" t="s">
        <v>49</v>
      </c>
      <c r="H272" s="29">
        <v>45790.0</v>
      </c>
      <c r="I272" s="36"/>
      <c r="J272" s="29">
        <v>45853.0</v>
      </c>
      <c r="K272" s="30">
        <f t="shared" si="2"/>
        <v>63</v>
      </c>
      <c r="L272" s="27" t="s">
        <v>40</v>
      </c>
      <c r="M272" s="41"/>
      <c r="N272" s="33"/>
      <c r="O272" s="27" t="s">
        <v>81</v>
      </c>
      <c r="P272" s="27" t="s">
        <v>42</v>
      </c>
      <c r="Q272" s="41"/>
      <c r="R272" s="35"/>
      <c r="S272" s="36"/>
      <c r="T272" s="37"/>
      <c r="U272" s="37"/>
      <c r="V272" s="37"/>
      <c r="W272" s="37"/>
      <c r="X272" s="37"/>
      <c r="Y272" s="38"/>
      <c r="Z272" s="37"/>
      <c r="AA272" s="37"/>
      <c r="AB272" s="37"/>
      <c r="AC272" s="37"/>
    </row>
    <row r="273" ht="53.25" customHeight="1">
      <c r="A273" s="13" t="s">
        <v>817</v>
      </c>
      <c r="B273" s="13" t="s">
        <v>818</v>
      </c>
      <c r="C273" s="13" t="s">
        <v>34</v>
      </c>
      <c r="D273" s="13" t="s">
        <v>35</v>
      </c>
      <c r="E273" s="13" t="s">
        <v>260</v>
      </c>
      <c r="F273" s="23"/>
      <c r="G273" s="13" t="s">
        <v>49</v>
      </c>
      <c r="H273" s="15"/>
      <c r="I273" s="22"/>
      <c r="J273" s="15"/>
      <c r="K273" s="17" t="str">
        <f t="shared" si="2"/>
        <v/>
      </c>
      <c r="L273" s="13" t="s">
        <v>40</v>
      </c>
      <c r="M273" s="18"/>
      <c r="N273" s="26"/>
      <c r="O273" s="13" t="s">
        <v>58</v>
      </c>
      <c r="P273" s="13"/>
      <c r="Q273" s="18"/>
      <c r="R273" s="21"/>
      <c r="S273" s="22"/>
      <c r="T273" s="23"/>
      <c r="U273" s="23"/>
      <c r="V273" s="23"/>
      <c r="W273" s="23"/>
      <c r="X273" s="23"/>
      <c r="Y273" s="24"/>
      <c r="Z273" s="23"/>
      <c r="AA273" s="23"/>
      <c r="AB273" s="23"/>
      <c r="AC273" s="23"/>
    </row>
    <row r="274" ht="53.25" customHeight="1">
      <c r="A274" s="27" t="s">
        <v>819</v>
      </c>
      <c r="B274" s="27" t="s">
        <v>820</v>
      </c>
      <c r="C274" s="27" t="s">
        <v>821</v>
      </c>
      <c r="D274" s="27" t="s">
        <v>35</v>
      </c>
      <c r="E274" s="27" t="s">
        <v>822</v>
      </c>
      <c r="F274" s="37"/>
      <c r="G274" s="27" t="s">
        <v>49</v>
      </c>
      <c r="H274" s="29">
        <v>45779.0</v>
      </c>
      <c r="I274" s="36"/>
      <c r="J274" s="29">
        <v>45834.0</v>
      </c>
      <c r="K274" s="30">
        <f t="shared" si="2"/>
        <v>55</v>
      </c>
      <c r="L274" s="27" t="s">
        <v>40</v>
      </c>
      <c r="M274" s="41"/>
      <c r="N274" s="33"/>
      <c r="O274" s="27" t="s">
        <v>81</v>
      </c>
      <c r="P274" s="27"/>
      <c r="Q274" s="41"/>
      <c r="R274" s="35"/>
      <c r="S274" s="36"/>
      <c r="T274" s="37"/>
      <c r="U274" s="37"/>
      <c r="V274" s="37"/>
      <c r="W274" s="37"/>
      <c r="X274" s="37"/>
      <c r="Y274" s="38"/>
      <c r="Z274" s="37"/>
      <c r="AA274" s="37"/>
      <c r="AB274" s="37"/>
      <c r="AC274" s="37"/>
    </row>
    <row r="275" ht="42.75" customHeight="1">
      <c r="A275" s="13" t="s">
        <v>823</v>
      </c>
      <c r="B275" s="13" t="s">
        <v>824</v>
      </c>
      <c r="C275" s="13" t="s">
        <v>821</v>
      </c>
      <c r="D275" s="13" t="s">
        <v>35</v>
      </c>
      <c r="E275" s="13" t="s">
        <v>822</v>
      </c>
      <c r="F275" s="23"/>
      <c r="G275" s="13" t="s">
        <v>49</v>
      </c>
      <c r="H275" s="15">
        <v>45708.0</v>
      </c>
      <c r="I275" s="22"/>
      <c r="J275" s="15">
        <v>45824.0</v>
      </c>
      <c r="K275" s="17">
        <f t="shared" si="2"/>
        <v>116</v>
      </c>
      <c r="L275" s="13" t="s">
        <v>40</v>
      </c>
      <c r="M275" s="18"/>
      <c r="N275" s="26"/>
      <c r="O275" s="13" t="s">
        <v>81</v>
      </c>
      <c r="P275" s="13"/>
      <c r="Q275" s="18"/>
      <c r="R275" s="21"/>
      <c r="S275" s="22"/>
      <c r="T275" s="23"/>
      <c r="U275" s="23"/>
      <c r="V275" s="23"/>
      <c r="W275" s="23"/>
      <c r="X275" s="23"/>
      <c r="Y275" s="24"/>
      <c r="Z275" s="23"/>
      <c r="AA275" s="23"/>
      <c r="AB275" s="23"/>
      <c r="AC275" s="23"/>
    </row>
    <row r="276" ht="42.75" customHeight="1">
      <c r="A276" s="27" t="s">
        <v>825</v>
      </c>
      <c r="B276" s="27" t="s">
        <v>826</v>
      </c>
      <c r="C276" s="27" t="s">
        <v>827</v>
      </c>
      <c r="D276" s="27" t="s">
        <v>35</v>
      </c>
      <c r="E276" s="27" t="s">
        <v>828</v>
      </c>
      <c r="F276" s="37"/>
      <c r="G276" s="27" t="s">
        <v>49</v>
      </c>
      <c r="H276" s="29">
        <v>45997.0</v>
      </c>
      <c r="I276" s="36"/>
      <c r="J276" s="29">
        <v>45783.0</v>
      </c>
      <c r="K276" s="30">
        <f t="shared" si="2"/>
        <v>-214</v>
      </c>
      <c r="L276" s="27" t="s">
        <v>40</v>
      </c>
      <c r="M276" s="41"/>
      <c r="N276" s="33"/>
      <c r="O276" s="27" t="s">
        <v>51</v>
      </c>
      <c r="P276" s="27"/>
      <c r="Q276" s="41"/>
      <c r="R276" s="35"/>
      <c r="S276" s="36"/>
      <c r="T276" s="37"/>
      <c r="U276" s="37"/>
      <c r="V276" s="37"/>
      <c r="W276" s="37"/>
      <c r="X276" s="37"/>
      <c r="Y276" s="38"/>
      <c r="Z276" s="37"/>
      <c r="AA276" s="37"/>
      <c r="AB276" s="37"/>
      <c r="AC276" s="37"/>
    </row>
    <row r="277" ht="21.75" customHeight="1">
      <c r="A277" s="13" t="s">
        <v>829</v>
      </c>
      <c r="B277" s="13" t="s">
        <v>830</v>
      </c>
      <c r="C277" s="13" t="s">
        <v>416</v>
      </c>
      <c r="D277" s="13" t="s">
        <v>409</v>
      </c>
      <c r="E277" s="13" t="s">
        <v>590</v>
      </c>
      <c r="F277" s="23"/>
      <c r="G277" s="13" t="s">
        <v>49</v>
      </c>
      <c r="H277" s="15">
        <v>45636.0</v>
      </c>
      <c r="I277" s="22"/>
      <c r="J277" s="15">
        <v>46006.0</v>
      </c>
      <c r="K277" s="17">
        <f t="shared" si="2"/>
        <v>370</v>
      </c>
      <c r="L277" s="13" t="s">
        <v>64</v>
      </c>
      <c r="M277" s="18"/>
      <c r="N277" s="26"/>
      <c r="O277" s="20" t="s">
        <v>81</v>
      </c>
      <c r="P277" s="13"/>
      <c r="Q277" s="18"/>
      <c r="R277" s="21"/>
      <c r="S277" s="22"/>
      <c r="T277" s="23"/>
      <c r="U277" s="23"/>
      <c r="V277" s="23"/>
      <c r="W277" s="23"/>
      <c r="X277" s="23"/>
      <c r="Y277" s="24"/>
      <c r="Z277" s="23"/>
      <c r="AA277" s="23"/>
      <c r="AB277" s="23"/>
      <c r="AC277" s="23"/>
    </row>
    <row r="278" ht="32.25" customHeight="1">
      <c r="A278" s="27" t="s">
        <v>831</v>
      </c>
      <c r="B278" s="27" t="s">
        <v>832</v>
      </c>
      <c r="C278" s="27" t="s">
        <v>416</v>
      </c>
      <c r="D278" s="27" t="s">
        <v>409</v>
      </c>
      <c r="E278" s="27" t="s">
        <v>590</v>
      </c>
      <c r="F278" s="37"/>
      <c r="G278" s="27" t="s">
        <v>49</v>
      </c>
      <c r="H278" s="29">
        <v>45552.0</v>
      </c>
      <c r="I278" s="36"/>
      <c r="J278" s="29">
        <v>46021.0</v>
      </c>
      <c r="K278" s="30">
        <f t="shared" si="2"/>
        <v>469</v>
      </c>
      <c r="L278" s="27" t="s">
        <v>40</v>
      </c>
      <c r="M278" s="41"/>
      <c r="N278" s="33"/>
      <c r="O278" s="27" t="s">
        <v>81</v>
      </c>
      <c r="P278" s="27"/>
      <c r="Q278" s="41"/>
      <c r="R278" s="35"/>
      <c r="S278" s="36"/>
      <c r="T278" s="37"/>
      <c r="U278" s="37"/>
      <c r="V278" s="37"/>
      <c r="W278" s="37"/>
      <c r="X278" s="37"/>
      <c r="Y278" s="38"/>
      <c r="Z278" s="37"/>
      <c r="AA278" s="37"/>
      <c r="AB278" s="37"/>
      <c r="AC278" s="37"/>
    </row>
    <row r="279" ht="32.25" customHeight="1">
      <c r="A279" s="13" t="s">
        <v>833</v>
      </c>
      <c r="B279" s="13" t="s">
        <v>834</v>
      </c>
      <c r="C279" s="13" t="s">
        <v>416</v>
      </c>
      <c r="D279" s="13" t="s">
        <v>409</v>
      </c>
      <c r="E279" s="13" t="s">
        <v>590</v>
      </c>
      <c r="F279" s="23"/>
      <c r="G279" s="13" t="s">
        <v>49</v>
      </c>
      <c r="H279" s="15">
        <v>45527.0</v>
      </c>
      <c r="I279" s="22"/>
      <c r="J279" s="15">
        <v>46016.0</v>
      </c>
      <c r="K279" s="17">
        <f t="shared" si="2"/>
        <v>489</v>
      </c>
      <c r="L279" s="13" t="s">
        <v>40</v>
      </c>
      <c r="M279" s="18"/>
      <c r="N279" s="26"/>
      <c r="O279" s="13" t="s">
        <v>51</v>
      </c>
      <c r="P279" s="13"/>
      <c r="Q279" s="18"/>
      <c r="R279" s="21"/>
      <c r="S279" s="22"/>
      <c r="T279" s="23"/>
      <c r="U279" s="23"/>
      <c r="V279" s="23"/>
      <c r="W279" s="23"/>
      <c r="X279" s="23"/>
      <c r="Y279" s="24"/>
      <c r="Z279" s="23"/>
      <c r="AA279" s="23"/>
      <c r="AB279" s="23"/>
      <c r="AC279" s="23"/>
    </row>
    <row r="280" ht="32.25" customHeight="1">
      <c r="A280" s="59" t="s">
        <v>835</v>
      </c>
      <c r="B280" s="20" t="s">
        <v>836</v>
      </c>
      <c r="C280" s="20" t="s">
        <v>416</v>
      </c>
      <c r="D280" s="20" t="s">
        <v>409</v>
      </c>
      <c r="E280" s="20" t="s">
        <v>590</v>
      </c>
      <c r="F280" s="14" t="s">
        <v>86</v>
      </c>
      <c r="G280" s="20" t="s">
        <v>91</v>
      </c>
      <c r="H280" s="20" t="s">
        <v>837</v>
      </c>
      <c r="I280" s="22"/>
      <c r="J280" s="20" t="s">
        <v>838</v>
      </c>
      <c r="K280" s="17"/>
      <c r="L280" s="20" t="s">
        <v>64</v>
      </c>
      <c r="M280" s="18"/>
      <c r="N280" s="26"/>
      <c r="O280" s="13"/>
      <c r="P280" s="13"/>
      <c r="Q280" s="18"/>
      <c r="R280" s="21"/>
      <c r="S280" s="22"/>
      <c r="T280" s="23"/>
      <c r="U280" s="23"/>
      <c r="V280" s="23"/>
      <c r="W280" s="23"/>
      <c r="X280" s="23"/>
      <c r="Y280" s="24"/>
      <c r="Z280" s="23"/>
      <c r="AA280" s="23"/>
      <c r="AB280" s="23"/>
      <c r="AC280" s="23"/>
    </row>
    <row r="281" ht="15.0" customHeight="1">
      <c r="A281" s="27" t="s">
        <v>839</v>
      </c>
      <c r="B281" s="27" t="s">
        <v>840</v>
      </c>
      <c r="C281" s="27" t="s">
        <v>629</v>
      </c>
      <c r="D281" s="27" t="s">
        <v>409</v>
      </c>
      <c r="E281" s="27" t="s">
        <v>841</v>
      </c>
      <c r="F281" s="37"/>
      <c r="G281" s="27" t="s">
        <v>49</v>
      </c>
      <c r="H281" s="29">
        <v>45871.0</v>
      </c>
      <c r="I281" s="36"/>
      <c r="J281" s="29">
        <v>45894.0</v>
      </c>
      <c r="K281" s="30">
        <f t="shared" ref="K281:K388" si="3">IF(AND(H281&lt;&gt;"",J281&lt;&gt;""),J281-H281,"")</f>
        <v>23</v>
      </c>
      <c r="L281" s="27" t="s">
        <v>40</v>
      </c>
      <c r="M281" s="41"/>
      <c r="N281" s="33"/>
      <c r="O281" s="27"/>
      <c r="P281" s="27"/>
      <c r="Q281" s="41"/>
      <c r="R281" s="35"/>
      <c r="S281" s="36"/>
      <c r="T281" s="37"/>
      <c r="U281" s="37"/>
      <c r="V281" s="37"/>
      <c r="W281" s="37"/>
      <c r="X281" s="37"/>
      <c r="Y281" s="38"/>
      <c r="Z281" s="37"/>
      <c r="AA281" s="37"/>
      <c r="AB281" s="37"/>
      <c r="AC281" s="37"/>
    </row>
    <row r="282" ht="15.0" customHeight="1">
      <c r="A282" s="13" t="s">
        <v>842</v>
      </c>
      <c r="B282" s="13" t="s">
        <v>843</v>
      </c>
      <c r="C282" s="13" t="s">
        <v>629</v>
      </c>
      <c r="D282" s="13" t="s">
        <v>409</v>
      </c>
      <c r="E282" s="13" t="s">
        <v>841</v>
      </c>
      <c r="F282" s="23"/>
      <c r="G282" s="13" t="s">
        <v>49</v>
      </c>
      <c r="H282" s="15">
        <v>45872.0</v>
      </c>
      <c r="I282" s="22"/>
      <c r="J282" s="15">
        <v>45909.0</v>
      </c>
      <c r="K282" s="17">
        <f t="shared" si="3"/>
        <v>37</v>
      </c>
      <c r="L282" s="13" t="s">
        <v>40</v>
      </c>
      <c r="M282" s="18"/>
      <c r="N282" s="26"/>
      <c r="O282" s="13"/>
      <c r="P282" s="13"/>
      <c r="Q282" s="18"/>
      <c r="R282" s="21"/>
      <c r="S282" s="22"/>
      <c r="T282" s="23"/>
      <c r="U282" s="23"/>
      <c r="V282" s="23"/>
      <c r="W282" s="23"/>
      <c r="X282" s="23"/>
      <c r="Y282" s="24"/>
      <c r="Z282" s="23"/>
      <c r="AA282" s="23"/>
      <c r="AB282" s="23"/>
      <c r="AC282" s="23"/>
    </row>
    <row r="283" ht="21.75" customHeight="1">
      <c r="A283" s="27" t="s">
        <v>844</v>
      </c>
      <c r="B283" s="27" t="s">
        <v>845</v>
      </c>
      <c r="C283" s="27" t="s">
        <v>629</v>
      </c>
      <c r="D283" s="27" t="s">
        <v>409</v>
      </c>
      <c r="E283" s="27" t="s">
        <v>841</v>
      </c>
      <c r="F283" s="37"/>
      <c r="G283" s="27" t="s">
        <v>49</v>
      </c>
      <c r="H283" s="29">
        <v>45870.0</v>
      </c>
      <c r="I283" s="36"/>
      <c r="J283" s="29">
        <v>45892.0</v>
      </c>
      <c r="K283" s="30">
        <f t="shared" si="3"/>
        <v>22</v>
      </c>
      <c r="L283" s="27" t="s">
        <v>40</v>
      </c>
      <c r="M283" s="41"/>
      <c r="N283" s="33"/>
      <c r="O283" s="27"/>
      <c r="P283" s="27"/>
      <c r="Q283" s="41"/>
      <c r="R283" s="35"/>
      <c r="S283" s="36"/>
      <c r="T283" s="37"/>
      <c r="U283" s="37"/>
      <c r="V283" s="37"/>
      <c r="W283" s="37"/>
      <c r="X283" s="37"/>
      <c r="Y283" s="38"/>
      <c r="Z283" s="37"/>
      <c r="AA283" s="37"/>
      <c r="AB283" s="37"/>
      <c r="AC283" s="37"/>
    </row>
    <row r="284" ht="21.75" customHeight="1">
      <c r="A284" s="13" t="s">
        <v>846</v>
      </c>
      <c r="B284" s="13" t="s">
        <v>847</v>
      </c>
      <c r="C284" s="13" t="s">
        <v>416</v>
      </c>
      <c r="D284" s="13" t="s">
        <v>409</v>
      </c>
      <c r="E284" s="13" t="s">
        <v>848</v>
      </c>
      <c r="F284" s="23"/>
      <c r="G284" s="13" t="s">
        <v>49</v>
      </c>
      <c r="H284" s="15">
        <v>45839.0</v>
      </c>
      <c r="I284" s="22"/>
      <c r="J284" s="15">
        <v>45930.0</v>
      </c>
      <c r="K284" s="17">
        <f t="shared" si="3"/>
        <v>91</v>
      </c>
      <c r="L284" s="13" t="s">
        <v>40</v>
      </c>
      <c r="M284" s="18"/>
      <c r="N284" s="26"/>
      <c r="O284" s="13"/>
      <c r="P284" s="13"/>
      <c r="Q284" s="18"/>
      <c r="R284" s="21"/>
      <c r="S284" s="22"/>
      <c r="T284" s="23"/>
      <c r="U284" s="23"/>
      <c r="V284" s="23"/>
      <c r="W284" s="23"/>
      <c r="X284" s="23"/>
      <c r="Y284" s="24"/>
      <c r="Z284" s="23"/>
      <c r="AA284" s="23"/>
      <c r="AB284" s="23"/>
      <c r="AC284" s="23"/>
    </row>
    <row r="285" ht="32.25" customHeight="1">
      <c r="A285" s="27" t="s">
        <v>849</v>
      </c>
      <c r="B285" s="27" t="s">
        <v>850</v>
      </c>
      <c r="C285" s="27" t="s">
        <v>692</v>
      </c>
      <c r="D285" s="27" t="s">
        <v>35</v>
      </c>
      <c r="E285" s="27"/>
      <c r="F285" s="37"/>
      <c r="G285" s="27" t="s">
        <v>91</v>
      </c>
      <c r="H285" s="29">
        <v>45933.0</v>
      </c>
      <c r="I285" s="36"/>
      <c r="J285" s="29"/>
      <c r="K285" s="30" t="str">
        <f t="shared" si="3"/>
        <v/>
      </c>
      <c r="L285" s="27"/>
      <c r="M285" s="41"/>
      <c r="N285" s="33"/>
      <c r="O285" s="27"/>
      <c r="P285" s="27"/>
      <c r="Q285" s="41"/>
      <c r="R285" s="35"/>
      <c r="S285" s="36"/>
      <c r="T285" s="37"/>
      <c r="U285" s="37"/>
      <c r="V285" s="37"/>
      <c r="W285" s="37"/>
      <c r="X285" s="37"/>
      <c r="Y285" s="38"/>
      <c r="Z285" s="37"/>
      <c r="AA285" s="37"/>
      <c r="AB285" s="37"/>
      <c r="AC285" s="37"/>
    </row>
    <row r="286" ht="42.75" customHeight="1">
      <c r="A286" s="13" t="s">
        <v>851</v>
      </c>
      <c r="B286" s="13" t="s">
        <v>852</v>
      </c>
      <c r="C286" s="13" t="s">
        <v>692</v>
      </c>
      <c r="D286" s="13" t="s">
        <v>35</v>
      </c>
      <c r="E286" s="13"/>
      <c r="F286" s="23"/>
      <c r="G286" s="13" t="s">
        <v>91</v>
      </c>
      <c r="H286" s="15">
        <v>45938.0</v>
      </c>
      <c r="I286" s="22"/>
      <c r="J286" s="15"/>
      <c r="K286" s="17" t="str">
        <f t="shared" si="3"/>
        <v/>
      </c>
      <c r="L286" s="13"/>
      <c r="M286" s="18"/>
      <c r="N286" s="26"/>
      <c r="O286" s="13"/>
      <c r="P286" s="13"/>
      <c r="Q286" s="18"/>
      <c r="R286" s="21"/>
      <c r="S286" s="22"/>
      <c r="T286" s="23"/>
      <c r="U286" s="23"/>
      <c r="V286" s="23"/>
      <c r="W286" s="23"/>
      <c r="X286" s="23"/>
      <c r="Y286" s="24"/>
      <c r="Z286" s="23"/>
      <c r="AA286" s="23"/>
      <c r="AB286" s="23"/>
      <c r="AC286" s="23"/>
    </row>
    <row r="287" ht="21.75" customHeight="1">
      <c r="A287" s="27" t="s">
        <v>853</v>
      </c>
      <c r="B287" s="27" t="s">
        <v>854</v>
      </c>
      <c r="C287" s="27" t="s">
        <v>186</v>
      </c>
      <c r="D287" s="27" t="s">
        <v>35</v>
      </c>
      <c r="E287" s="27" t="s">
        <v>855</v>
      </c>
      <c r="F287" s="37"/>
      <c r="G287" s="31" t="s">
        <v>38</v>
      </c>
      <c r="H287" s="29">
        <v>45902.0</v>
      </c>
      <c r="I287" s="36"/>
      <c r="J287" s="29"/>
      <c r="K287" s="30" t="str">
        <f t="shared" si="3"/>
        <v/>
      </c>
      <c r="L287" s="27" t="s">
        <v>40</v>
      </c>
      <c r="M287" s="32" t="s">
        <v>856</v>
      </c>
      <c r="N287" s="33"/>
      <c r="O287" s="27" t="s">
        <v>81</v>
      </c>
      <c r="P287" s="31" t="s">
        <v>42</v>
      </c>
      <c r="Q287" s="41"/>
      <c r="R287" s="35"/>
      <c r="S287" s="36"/>
      <c r="T287" s="37"/>
      <c r="U287" s="37"/>
      <c r="V287" s="37"/>
      <c r="W287" s="37"/>
      <c r="X287" s="37"/>
      <c r="Y287" s="38"/>
      <c r="Z287" s="37"/>
      <c r="AA287" s="37"/>
      <c r="AB287" s="37"/>
      <c r="AC287" s="37"/>
    </row>
    <row r="288" ht="21.75" customHeight="1">
      <c r="A288" s="13" t="s">
        <v>857</v>
      </c>
      <c r="B288" s="13" t="s">
        <v>858</v>
      </c>
      <c r="C288" s="13" t="s">
        <v>387</v>
      </c>
      <c r="D288" s="13" t="s">
        <v>409</v>
      </c>
      <c r="E288" s="13" t="s">
        <v>859</v>
      </c>
      <c r="F288" s="14" t="s">
        <v>220</v>
      </c>
      <c r="G288" s="20" t="s">
        <v>75</v>
      </c>
      <c r="H288" s="15">
        <v>45925.0</v>
      </c>
      <c r="I288" s="22"/>
      <c r="J288" s="16">
        <v>46144.0</v>
      </c>
      <c r="K288" s="17">
        <f t="shared" si="3"/>
        <v>219</v>
      </c>
      <c r="L288" s="13" t="s">
        <v>56</v>
      </c>
      <c r="M288" s="25" t="s">
        <v>860</v>
      </c>
      <c r="N288" s="26"/>
      <c r="O288" s="13"/>
      <c r="P288" s="13"/>
      <c r="Q288" s="18"/>
      <c r="R288" s="21"/>
      <c r="S288" s="22"/>
      <c r="T288" s="23"/>
      <c r="U288" s="23"/>
      <c r="V288" s="23"/>
      <c r="W288" s="23"/>
      <c r="X288" s="23"/>
      <c r="Y288" s="24"/>
      <c r="Z288" s="23"/>
      <c r="AA288" s="23"/>
      <c r="AB288" s="23"/>
      <c r="AC288" s="23"/>
    </row>
    <row r="289" ht="42.75" customHeight="1">
      <c r="A289" s="27" t="s">
        <v>861</v>
      </c>
      <c r="B289" s="27" t="s">
        <v>862</v>
      </c>
      <c r="C289" s="27" t="s">
        <v>387</v>
      </c>
      <c r="D289" s="27" t="s">
        <v>409</v>
      </c>
      <c r="E289" s="27"/>
      <c r="F289" s="37"/>
      <c r="G289" s="27" t="s">
        <v>38</v>
      </c>
      <c r="H289" s="29">
        <v>45929.0</v>
      </c>
      <c r="I289" s="36"/>
      <c r="J289" s="29"/>
      <c r="K289" s="30" t="str">
        <f t="shared" si="3"/>
        <v/>
      </c>
      <c r="L289" s="27" t="s">
        <v>40</v>
      </c>
      <c r="M289" s="41"/>
      <c r="N289" s="33"/>
      <c r="O289" s="27" t="s">
        <v>51</v>
      </c>
      <c r="P289" s="27"/>
      <c r="Q289" s="41"/>
      <c r="R289" s="35"/>
      <c r="S289" s="36"/>
      <c r="T289" s="37"/>
      <c r="U289" s="37"/>
      <c r="V289" s="37"/>
      <c r="W289" s="37"/>
      <c r="X289" s="37"/>
      <c r="Y289" s="38"/>
      <c r="Z289" s="37"/>
      <c r="AA289" s="37"/>
      <c r="AB289" s="37"/>
      <c r="AC289" s="37"/>
    </row>
    <row r="290" ht="32.25" customHeight="1">
      <c r="A290" s="13" t="s">
        <v>863</v>
      </c>
      <c r="B290" s="13" t="s">
        <v>864</v>
      </c>
      <c r="C290" s="13" t="s">
        <v>692</v>
      </c>
      <c r="D290" s="13" t="s">
        <v>35</v>
      </c>
      <c r="E290" s="13" t="s">
        <v>865</v>
      </c>
      <c r="F290" s="23"/>
      <c r="G290" s="13" t="s">
        <v>49</v>
      </c>
      <c r="H290" s="15"/>
      <c r="I290" s="22"/>
      <c r="J290" s="15">
        <v>45919.0</v>
      </c>
      <c r="K290" s="17" t="str">
        <f t="shared" si="3"/>
        <v/>
      </c>
      <c r="L290" s="13" t="s">
        <v>40</v>
      </c>
      <c r="M290" s="18"/>
      <c r="N290" s="26"/>
      <c r="O290" s="13" t="s">
        <v>51</v>
      </c>
      <c r="P290" s="13"/>
      <c r="Q290" s="18"/>
      <c r="R290" s="21"/>
      <c r="S290" s="22"/>
      <c r="T290" s="23"/>
      <c r="U290" s="23"/>
      <c r="V290" s="23"/>
      <c r="W290" s="23"/>
      <c r="X290" s="23"/>
      <c r="Y290" s="24"/>
      <c r="Z290" s="23"/>
      <c r="AA290" s="23"/>
      <c r="AB290" s="23"/>
      <c r="AC290" s="23"/>
    </row>
    <row r="291" ht="21.75" customHeight="1">
      <c r="A291" s="27" t="s">
        <v>866</v>
      </c>
      <c r="B291" s="27" t="s">
        <v>867</v>
      </c>
      <c r="C291" s="27" t="s">
        <v>218</v>
      </c>
      <c r="D291" s="27" t="s">
        <v>35</v>
      </c>
      <c r="E291" s="27" t="s">
        <v>230</v>
      </c>
      <c r="F291" s="37"/>
      <c r="G291" s="27" t="s">
        <v>49</v>
      </c>
      <c r="H291" s="29">
        <v>45716.0</v>
      </c>
      <c r="I291" s="36"/>
      <c r="J291" s="29">
        <v>45918.0</v>
      </c>
      <c r="K291" s="30">
        <f t="shared" si="3"/>
        <v>202</v>
      </c>
      <c r="L291" s="27" t="s">
        <v>40</v>
      </c>
      <c r="M291" s="32" t="s">
        <v>868</v>
      </c>
      <c r="N291" s="33"/>
      <c r="O291" s="27" t="s">
        <v>41</v>
      </c>
      <c r="P291" s="27" t="s">
        <v>42</v>
      </c>
      <c r="Q291" s="41"/>
      <c r="R291" s="35"/>
      <c r="S291" s="36"/>
      <c r="T291" s="37"/>
      <c r="U291" s="37"/>
      <c r="V291" s="37"/>
      <c r="W291" s="37"/>
      <c r="X291" s="37"/>
      <c r="Y291" s="38"/>
      <c r="Z291" s="37"/>
      <c r="AA291" s="37"/>
      <c r="AB291" s="37"/>
      <c r="AC291" s="37"/>
    </row>
    <row r="292" ht="21.75" customHeight="1">
      <c r="A292" s="13" t="s">
        <v>869</v>
      </c>
      <c r="B292" s="13" t="s">
        <v>870</v>
      </c>
      <c r="C292" s="13" t="s">
        <v>218</v>
      </c>
      <c r="D292" s="13" t="s">
        <v>35</v>
      </c>
      <c r="E292" s="13" t="s">
        <v>224</v>
      </c>
      <c r="F292" s="23"/>
      <c r="G292" s="20" t="s">
        <v>49</v>
      </c>
      <c r="H292" s="15">
        <v>45817.0</v>
      </c>
      <c r="I292" s="22"/>
      <c r="J292" s="15">
        <v>45939.0</v>
      </c>
      <c r="K292" s="17">
        <f t="shared" si="3"/>
        <v>122</v>
      </c>
      <c r="L292" s="13" t="s">
        <v>40</v>
      </c>
      <c r="M292" s="25" t="s">
        <v>871</v>
      </c>
      <c r="N292" s="26"/>
      <c r="O292" s="13"/>
      <c r="P292" s="13" t="s">
        <v>42</v>
      </c>
      <c r="Q292" s="18"/>
      <c r="R292" s="21"/>
      <c r="S292" s="22"/>
      <c r="T292" s="23"/>
      <c r="U292" s="23"/>
      <c r="V292" s="23"/>
      <c r="W292" s="23"/>
      <c r="X292" s="23"/>
      <c r="Y292" s="24"/>
      <c r="Z292" s="23"/>
      <c r="AA292" s="23"/>
      <c r="AB292" s="23"/>
      <c r="AC292" s="23"/>
    </row>
    <row r="293" ht="15.0" customHeight="1">
      <c r="A293" s="27" t="s">
        <v>872</v>
      </c>
      <c r="B293" s="27" t="s">
        <v>873</v>
      </c>
      <c r="C293" s="27" t="s">
        <v>218</v>
      </c>
      <c r="D293" s="27" t="s">
        <v>35</v>
      </c>
      <c r="E293" s="27" t="s">
        <v>874</v>
      </c>
      <c r="F293" s="37"/>
      <c r="G293" s="27" t="s">
        <v>49</v>
      </c>
      <c r="H293" s="29">
        <v>45449.0</v>
      </c>
      <c r="I293" s="36"/>
      <c r="J293" s="29">
        <v>45826.0</v>
      </c>
      <c r="K293" s="30">
        <f t="shared" si="3"/>
        <v>377</v>
      </c>
      <c r="L293" s="27" t="s">
        <v>40</v>
      </c>
      <c r="M293" s="41"/>
      <c r="N293" s="33"/>
      <c r="O293" s="27" t="s">
        <v>51</v>
      </c>
      <c r="P293" s="27" t="s">
        <v>42</v>
      </c>
      <c r="Q293" s="41"/>
      <c r="R293" s="35"/>
      <c r="S293" s="36"/>
      <c r="T293" s="37"/>
      <c r="U293" s="37"/>
      <c r="V293" s="37"/>
      <c r="W293" s="37"/>
      <c r="X293" s="37"/>
      <c r="Y293" s="38"/>
      <c r="Z293" s="37"/>
      <c r="AA293" s="37"/>
      <c r="AB293" s="37"/>
      <c r="AC293" s="37"/>
    </row>
    <row r="294" ht="21.75" customHeight="1">
      <c r="A294" s="13" t="s">
        <v>875</v>
      </c>
      <c r="B294" s="13" t="s">
        <v>876</v>
      </c>
      <c r="C294" s="13" t="s">
        <v>218</v>
      </c>
      <c r="D294" s="13" t="s">
        <v>35</v>
      </c>
      <c r="E294" s="13" t="s">
        <v>877</v>
      </c>
      <c r="F294" s="23"/>
      <c r="G294" s="13" t="s">
        <v>49</v>
      </c>
      <c r="H294" s="15">
        <v>45540.0</v>
      </c>
      <c r="I294" s="22"/>
      <c r="J294" s="15">
        <v>45860.0</v>
      </c>
      <c r="K294" s="17">
        <f t="shared" si="3"/>
        <v>320</v>
      </c>
      <c r="L294" s="13" t="s">
        <v>40</v>
      </c>
      <c r="M294" s="18"/>
      <c r="N294" s="26"/>
      <c r="O294" s="13" t="s">
        <v>58</v>
      </c>
      <c r="P294" s="13"/>
      <c r="Q294" s="18"/>
      <c r="R294" s="21"/>
      <c r="S294" s="22"/>
      <c r="T294" s="23"/>
      <c r="U294" s="23"/>
      <c r="V294" s="23"/>
      <c r="W294" s="23"/>
      <c r="X294" s="23"/>
      <c r="Y294" s="24"/>
      <c r="Z294" s="23"/>
      <c r="AA294" s="23"/>
      <c r="AB294" s="23"/>
      <c r="AC294" s="23"/>
    </row>
    <row r="295" ht="32.25" customHeight="1">
      <c r="A295" s="27" t="s">
        <v>878</v>
      </c>
      <c r="B295" s="27" t="s">
        <v>879</v>
      </c>
      <c r="C295" s="27" t="s">
        <v>199</v>
      </c>
      <c r="D295" s="27" t="s">
        <v>35</v>
      </c>
      <c r="E295" s="27" t="s">
        <v>880</v>
      </c>
      <c r="F295" s="37"/>
      <c r="G295" s="27" t="s">
        <v>75</v>
      </c>
      <c r="H295" s="29">
        <v>45536.0</v>
      </c>
      <c r="I295" s="36"/>
      <c r="J295" s="29">
        <v>45759.0</v>
      </c>
      <c r="K295" s="30">
        <f t="shared" si="3"/>
        <v>223</v>
      </c>
      <c r="L295" s="27"/>
      <c r="M295" s="41"/>
      <c r="N295" s="33"/>
      <c r="O295" s="27"/>
      <c r="P295" s="27"/>
      <c r="Q295" s="41"/>
      <c r="R295" s="35"/>
      <c r="S295" s="36"/>
      <c r="T295" s="37"/>
      <c r="U295" s="37"/>
      <c r="V295" s="37"/>
      <c r="W295" s="37"/>
      <c r="X295" s="37"/>
      <c r="Y295" s="38"/>
      <c r="Z295" s="37"/>
      <c r="AA295" s="37"/>
      <c r="AB295" s="37"/>
      <c r="AC295" s="37"/>
    </row>
    <row r="296" ht="42.75" customHeight="1">
      <c r="A296" s="13" t="s">
        <v>881</v>
      </c>
      <c r="B296" s="13" t="s">
        <v>882</v>
      </c>
      <c r="C296" s="13" t="s">
        <v>387</v>
      </c>
      <c r="D296" s="13" t="s">
        <v>409</v>
      </c>
      <c r="E296" s="13" t="s">
        <v>883</v>
      </c>
      <c r="F296" s="23"/>
      <c r="G296" s="13" t="s">
        <v>49</v>
      </c>
      <c r="H296" s="15">
        <v>45658.0</v>
      </c>
      <c r="I296" s="22"/>
      <c r="J296" s="15">
        <v>45911.0</v>
      </c>
      <c r="K296" s="17">
        <f t="shared" si="3"/>
        <v>253</v>
      </c>
      <c r="L296" s="13" t="s">
        <v>40</v>
      </c>
      <c r="M296" s="18"/>
      <c r="N296" s="26"/>
      <c r="O296" s="13" t="s">
        <v>51</v>
      </c>
      <c r="P296" s="13"/>
      <c r="Q296" s="18"/>
      <c r="R296" s="21"/>
      <c r="S296" s="22"/>
      <c r="T296" s="23"/>
      <c r="U296" s="23"/>
      <c r="V296" s="23"/>
      <c r="W296" s="23"/>
      <c r="X296" s="23"/>
      <c r="Y296" s="24"/>
      <c r="Z296" s="23"/>
      <c r="AA296" s="23"/>
      <c r="AB296" s="23"/>
      <c r="AC296" s="23"/>
    </row>
    <row r="297" ht="21.75" customHeight="1">
      <c r="A297" s="27" t="s">
        <v>884</v>
      </c>
      <c r="B297" s="27" t="s">
        <v>885</v>
      </c>
      <c r="C297" s="27" t="s">
        <v>218</v>
      </c>
      <c r="D297" s="27" t="s">
        <v>35</v>
      </c>
      <c r="E297" s="27" t="s">
        <v>886</v>
      </c>
      <c r="F297" s="37"/>
      <c r="G297" s="27" t="s">
        <v>49</v>
      </c>
      <c r="H297" s="29">
        <v>45863.0</v>
      </c>
      <c r="I297" s="36"/>
      <c r="J297" s="29">
        <v>45902.0</v>
      </c>
      <c r="K297" s="30">
        <f t="shared" si="3"/>
        <v>39</v>
      </c>
      <c r="L297" s="27" t="s">
        <v>40</v>
      </c>
      <c r="M297" s="41"/>
      <c r="N297" s="33"/>
      <c r="O297" s="27" t="s">
        <v>81</v>
      </c>
      <c r="P297" s="27"/>
      <c r="Q297" s="41"/>
      <c r="R297" s="35"/>
      <c r="S297" s="36"/>
      <c r="T297" s="37"/>
      <c r="U297" s="37"/>
      <c r="V297" s="37"/>
      <c r="W297" s="37"/>
      <c r="X297" s="37"/>
      <c r="Y297" s="38"/>
      <c r="Z297" s="37"/>
      <c r="AA297" s="37"/>
      <c r="AB297" s="37"/>
      <c r="AC297" s="37"/>
    </row>
    <row r="298" ht="32.25" customHeight="1">
      <c r="A298" s="13" t="s">
        <v>887</v>
      </c>
      <c r="B298" s="13" t="s">
        <v>888</v>
      </c>
      <c r="C298" s="13" t="s">
        <v>408</v>
      </c>
      <c r="D298" s="13" t="s">
        <v>409</v>
      </c>
      <c r="E298" s="13" t="s">
        <v>562</v>
      </c>
      <c r="F298" s="23"/>
      <c r="G298" s="13" t="s">
        <v>49</v>
      </c>
      <c r="H298" s="15">
        <v>45818.0</v>
      </c>
      <c r="I298" s="22"/>
      <c r="J298" s="15">
        <v>45927.0</v>
      </c>
      <c r="K298" s="17">
        <f t="shared" si="3"/>
        <v>109</v>
      </c>
      <c r="L298" s="13" t="s">
        <v>40</v>
      </c>
      <c r="M298" s="18"/>
      <c r="N298" s="26"/>
      <c r="O298" s="13" t="s">
        <v>58</v>
      </c>
      <c r="P298" s="13"/>
      <c r="Q298" s="18"/>
      <c r="R298" s="21"/>
      <c r="S298" s="22"/>
      <c r="T298" s="23"/>
      <c r="U298" s="23"/>
      <c r="V298" s="23"/>
      <c r="W298" s="23"/>
      <c r="X298" s="23"/>
      <c r="Y298" s="24"/>
      <c r="Z298" s="23"/>
      <c r="AA298" s="23"/>
      <c r="AB298" s="23"/>
      <c r="AC298" s="23"/>
    </row>
    <row r="299" ht="32.25" customHeight="1">
      <c r="A299" s="27" t="s">
        <v>889</v>
      </c>
      <c r="B299" s="27" t="s">
        <v>890</v>
      </c>
      <c r="C299" s="27"/>
      <c r="D299" s="27" t="s">
        <v>35</v>
      </c>
      <c r="E299" s="27" t="s">
        <v>891</v>
      </c>
      <c r="F299" s="37"/>
      <c r="G299" s="27" t="s">
        <v>49</v>
      </c>
      <c r="H299" s="29">
        <v>45818.0</v>
      </c>
      <c r="I299" s="36"/>
      <c r="J299" s="29">
        <v>45880.0</v>
      </c>
      <c r="K299" s="30">
        <f t="shared" si="3"/>
        <v>62</v>
      </c>
      <c r="L299" s="27" t="s">
        <v>40</v>
      </c>
      <c r="M299" s="41"/>
      <c r="N299" s="33"/>
      <c r="O299" s="27" t="s">
        <v>81</v>
      </c>
      <c r="P299" s="27" t="s">
        <v>42</v>
      </c>
      <c r="Q299" s="41"/>
      <c r="R299" s="35"/>
      <c r="S299" s="36"/>
      <c r="T299" s="37"/>
      <c r="U299" s="37"/>
      <c r="V299" s="37"/>
      <c r="W299" s="37"/>
      <c r="X299" s="37"/>
      <c r="Y299" s="38"/>
      <c r="Z299" s="37"/>
      <c r="AA299" s="37"/>
      <c r="AB299" s="37"/>
      <c r="AC299" s="37"/>
    </row>
    <row r="300" ht="84.75" customHeight="1">
      <c r="A300" s="13" t="s">
        <v>892</v>
      </c>
      <c r="B300" s="13" t="s">
        <v>893</v>
      </c>
      <c r="C300" s="13" t="s">
        <v>387</v>
      </c>
      <c r="D300" s="13" t="s">
        <v>35</v>
      </c>
      <c r="E300" s="13" t="s">
        <v>894</v>
      </c>
      <c r="F300" s="23"/>
      <c r="G300" s="13" t="s">
        <v>49</v>
      </c>
      <c r="H300" s="15">
        <v>45809.0</v>
      </c>
      <c r="I300" s="22"/>
      <c r="J300" s="15">
        <v>45965.0</v>
      </c>
      <c r="K300" s="17">
        <f t="shared" si="3"/>
        <v>156</v>
      </c>
      <c r="L300" s="13" t="s">
        <v>40</v>
      </c>
      <c r="M300" s="18"/>
      <c r="N300" s="26"/>
      <c r="O300" s="13"/>
      <c r="P300" s="13"/>
      <c r="Q300" s="18"/>
      <c r="R300" s="21"/>
      <c r="S300" s="22"/>
      <c r="T300" s="23"/>
      <c r="U300" s="23"/>
      <c r="V300" s="23"/>
      <c r="W300" s="23"/>
      <c r="X300" s="23"/>
      <c r="Y300" s="24"/>
      <c r="Z300" s="23"/>
      <c r="AA300" s="23"/>
      <c r="AB300" s="23"/>
      <c r="AC300" s="23"/>
    </row>
    <row r="301" ht="32.25" customHeight="1">
      <c r="A301" s="27" t="s">
        <v>895</v>
      </c>
      <c r="B301" s="27" t="s">
        <v>896</v>
      </c>
      <c r="C301" s="27"/>
      <c r="D301" s="27" t="s">
        <v>409</v>
      </c>
      <c r="E301" s="27" t="s">
        <v>590</v>
      </c>
      <c r="F301" s="37"/>
      <c r="G301" s="27" t="s">
        <v>38</v>
      </c>
      <c r="H301" s="29">
        <v>45458.0</v>
      </c>
      <c r="I301" s="36"/>
      <c r="J301" s="29">
        <v>46006.0</v>
      </c>
      <c r="K301" s="30">
        <f t="shared" si="3"/>
        <v>548</v>
      </c>
      <c r="L301" s="27" t="s">
        <v>40</v>
      </c>
      <c r="M301" s="41"/>
      <c r="N301" s="33"/>
      <c r="O301" s="27" t="s">
        <v>81</v>
      </c>
      <c r="P301" s="27"/>
      <c r="Q301" s="41"/>
      <c r="R301" s="35"/>
      <c r="S301" s="36"/>
      <c r="T301" s="37"/>
      <c r="U301" s="37"/>
      <c r="V301" s="37"/>
      <c r="W301" s="37"/>
      <c r="X301" s="37"/>
      <c r="Y301" s="38"/>
      <c r="Z301" s="37"/>
      <c r="AA301" s="37"/>
      <c r="AB301" s="37"/>
      <c r="AC301" s="37"/>
    </row>
    <row r="302" ht="32.25" customHeight="1">
      <c r="A302" s="13" t="s">
        <v>897</v>
      </c>
      <c r="B302" s="13" t="s">
        <v>898</v>
      </c>
      <c r="C302" s="13" t="s">
        <v>84</v>
      </c>
      <c r="D302" s="13" t="s">
        <v>35</v>
      </c>
      <c r="E302" s="13" t="s">
        <v>799</v>
      </c>
      <c r="F302" s="23"/>
      <c r="G302" s="13" t="s">
        <v>49</v>
      </c>
      <c r="H302" s="15">
        <v>45724.0</v>
      </c>
      <c r="I302" s="22"/>
      <c r="J302" s="15">
        <v>45835.0</v>
      </c>
      <c r="K302" s="17">
        <f t="shared" si="3"/>
        <v>111</v>
      </c>
      <c r="L302" s="13" t="s">
        <v>40</v>
      </c>
      <c r="M302" s="18"/>
      <c r="N302" s="26"/>
      <c r="O302" s="13" t="s">
        <v>58</v>
      </c>
      <c r="P302" s="13"/>
      <c r="Q302" s="18"/>
      <c r="R302" s="21"/>
      <c r="S302" s="22"/>
      <c r="T302" s="23"/>
      <c r="U302" s="23"/>
      <c r="V302" s="23"/>
      <c r="W302" s="23"/>
      <c r="X302" s="23"/>
      <c r="Y302" s="24"/>
      <c r="Z302" s="23"/>
      <c r="AA302" s="23"/>
      <c r="AB302" s="23"/>
      <c r="AC302" s="23"/>
    </row>
    <row r="303" ht="53.25" customHeight="1">
      <c r="A303" s="27" t="s">
        <v>899</v>
      </c>
      <c r="B303" s="27" t="s">
        <v>900</v>
      </c>
      <c r="C303" s="27" t="s">
        <v>84</v>
      </c>
      <c r="D303" s="27" t="s">
        <v>35</v>
      </c>
      <c r="E303" s="27" t="s">
        <v>799</v>
      </c>
      <c r="F303" s="37"/>
      <c r="G303" s="27" t="s">
        <v>49</v>
      </c>
      <c r="H303" s="29">
        <v>45675.0</v>
      </c>
      <c r="I303" s="36"/>
      <c r="J303" s="29">
        <v>45855.0</v>
      </c>
      <c r="K303" s="30">
        <f t="shared" si="3"/>
        <v>180</v>
      </c>
      <c r="L303" s="27" t="s">
        <v>40</v>
      </c>
      <c r="M303" s="41"/>
      <c r="N303" s="33"/>
      <c r="O303" s="27" t="s">
        <v>58</v>
      </c>
      <c r="P303" s="27"/>
      <c r="Q303" s="41"/>
      <c r="R303" s="35"/>
      <c r="S303" s="36"/>
      <c r="T303" s="37"/>
      <c r="U303" s="37"/>
      <c r="V303" s="37"/>
      <c r="W303" s="37"/>
      <c r="X303" s="37"/>
      <c r="Y303" s="38"/>
      <c r="Z303" s="37"/>
      <c r="AA303" s="37"/>
      <c r="AB303" s="37"/>
      <c r="AC303" s="37"/>
    </row>
    <row r="304" ht="32.25" customHeight="1">
      <c r="A304" s="13" t="s">
        <v>901</v>
      </c>
      <c r="B304" s="13" t="s">
        <v>902</v>
      </c>
      <c r="C304" s="13" t="s">
        <v>84</v>
      </c>
      <c r="D304" s="13" t="s">
        <v>35</v>
      </c>
      <c r="E304" s="13" t="s">
        <v>799</v>
      </c>
      <c r="F304" s="23"/>
      <c r="G304" s="13" t="s">
        <v>49</v>
      </c>
      <c r="H304" s="15">
        <v>45786.0</v>
      </c>
      <c r="I304" s="22"/>
      <c r="J304" s="15">
        <v>45916.0</v>
      </c>
      <c r="K304" s="17">
        <f t="shared" si="3"/>
        <v>130</v>
      </c>
      <c r="L304" s="13" t="s">
        <v>64</v>
      </c>
      <c r="M304" s="18"/>
      <c r="N304" s="26"/>
      <c r="O304" s="13" t="s">
        <v>257</v>
      </c>
      <c r="P304" s="13"/>
      <c r="Q304" s="18"/>
      <c r="R304" s="21"/>
      <c r="S304" s="22"/>
      <c r="T304" s="23"/>
      <c r="U304" s="23"/>
      <c r="V304" s="23"/>
      <c r="W304" s="23"/>
      <c r="X304" s="23"/>
      <c r="Y304" s="24"/>
      <c r="Z304" s="23"/>
      <c r="AA304" s="23"/>
      <c r="AB304" s="23"/>
      <c r="AC304" s="23"/>
    </row>
    <row r="305" ht="21.75" customHeight="1">
      <c r="A305" s="27" t="s">
        <v>903</v>
      </c>
      <c r="B305" s="31" t="s">
        <v>904</v>
      </c>
      <c r="C305" s="27" t="s">
        <v>84</v>
      </c>
      <c r="D305" s="27" t="s">
        <v>35</v>
      </c>
      <c r="E305" s="27" t="s">
        <v>405</v>
      </c>
      <c r="F305" s="37"/>
      <c r="G305" s="27" t="s">
        <v>38</v>
      </c>
      <c r="H305" s="50">
        <v>46112.0</v>
      </c>
      <c r="I305" s="36"/>
      <c r="J305" s="50">
        <v>46203.0</v>
      </c>
      <c r="K305" s="30">
        <f t="shared" si="3"/>
        <v>91</v>
      </c>
      <c r="L305" s="27" t="s">
        <v>40</v>
      </c>
      <c r="M305" s="41"/>
      <c r="N305" s="33"/>
      <c r="O305" s="31" t="s">
        <v>905</v>
      </c>
      <c r="P305" s="27"/>
      <c r="Q305" s="41"/>
      <c r="R305" s="35"/>
      <c r="S305" s="36"/>
      <c r="T305" s="37"/>
      <c r="U305" s="37"/>
      <c r="V305" s="37"/>
      <c r="W305" s="37"/>
      <c r="X305" s="37"/>
      <c r="Y305" s="38"/>
      <c r="Z305" s="37"/>
      <c r="AA305" s="37"/>
      <c r="AB305" s="37"/>
      <c r="AC305" s="37"/>
    </row>
    <row r="306" ht="32.25" customHeight="1">
      <c r="A306" s="13" t="s">
        <v>906</v>
      </c>
      <c r="B306" s="13" t="s">
        <v>405</v>
      </c>
      <c r="C306" s="13" t="s">
        <v>84</v>
      </c>
      <c r="D306" s="13" t="s">
        <v>35</v>
      </c>
      <c r="E306" s="20" t="s">
        <v>405</v>
      </c>
      <c r="F306" s="23"/>
      <c r="G306" s="13" t="s">
        <v>38</v>
      </c>
      <c r="H306" s="15">
        <v>45868.0</v>
      </c>
      <c r="I306" s="22"/>
      <c r="J306" s="16">
        <v>46387.0</v>
      </c>
      <c r="K306" s="17">
        <f t="shared" si="3"/>
        <v>519</v>
      </c>
      <c r="L306" s="13" t="s">
        <v>40</v>
      </c>
      <c r="M306" s="18"/>
      <c r="N306" s="26"/>
      <c r="O306" s="13" t="s">
        <v>81</v>
      </c>
      <c r="P306" s="13"/>
      <c r="Q306" s="18"/>
      <c r="R306" s="21"/>
      <c r="S306" s="22"/>
      <c r="T306" s="23"/>
      <c r="U306" s="23"/>
      <c r="V306" s="23"/>
      <c r="W306" s="23"/>
      <c r="X306" s="23"/>
      <c r="Y306" s="24"/>
      <c r="Z306" s="23"/>
      <c r="AA306" s="23"/>
      <c r="AB306" s="23"/>
      <c r="AC306" s="23"/>
    </row>
    <row r="307" ht="32.25" customHeight="1">
      <c r="A307" s="27" t="s">
        <v>907</v>
      </c>
      <c r="B307" s="27" t="s">
        <v>908</v>
      </c>
      <c r="C307" s="27" t="s">
        <v>84</v>
      </c>
      <c r="D307" s="27" t="s">
        <v>35</v>
      </c>
      <c r="E307" s="27" t="s">
        <v>405</v>
      </c>
      <c r="F307" s="37"/>
      <c r="G307" s="27" t="s">
        <v>38</v>
      </c>
      <c r="H307" s="50">
        <v>46084.0</v>
      </c>
      <c r="I307" s="36"/>
      <c r="J307" s="50">
        <v>46326.0</v>
      </c>
      <c r="K307" s="30">
        <f t="shared" si="3"/>
        <v>242</v>
      </c>
      <c r="L307" s="27" t="s">
        <v>40</v>
      </c>
      <c r="M307" s="41"/>
      <c r="N307" s="33"/>
      <c r="O307" s="27" t="s">
        <v>58</v>
      </c>
      <c r="P307" s="27"/>
      <c r="Q307" s="41"/>
      <c r="R307" s="35"/>
      <c r="S307" s="36"/>
      <c r="T307" s="37"/>
      <c r="U307" s="37"/>
      <c r="V307" s="37"/>
      <c r="W307" s="37"/>
      <c r="X307" s="37"/>
      <c r="Y307" s="38"/>
      <c r="Z307" s="37"/>
      <c r="AA307" s="37"/>
      <c r="AB307" s="37"/>
      <c r="AC307" s="37"/>
    </row>
    <row r="308" ht="32.25" customHeight="1">
      <c r="A308" s="13" t="s">
        <v>909</v>
      </c>
      <c r="B308" s="13" t="s">
        <v>910</v>
      </c>
      <c r="C308" s="13" t="s">
        <v>416</v>
      </c>
      <c r="D308" s="13" t="s">
        <v>409</v>
      </c>
      <c r="E308" s="13" t="s">
        <v>911</v>
      </c>
      <c r="F308" s="23"/>
      <c r="G308" s="13" t="s">
        <v>49</v>
      </c>
      <c r="H308" s="15">
        <v>45677.0</v>
      </c>
      <c r="I308" s="22"/>
      <c r="J308" s="15">
        <v>45927.0</v>
      </c>
      <c r="K308" s="17">
        <f t="shared" si="3"/>
        <v>250</v>
      </c>
      <c r="L308" s="13" t="s">
        <v>40</v>
      </c>
      <c r="M308" s="18"/>
      <c r="N308" s="26"/>
      <c r="O308" s="13" t="s">
        <v>41</v>
      </c>
      <c r="P308" s="13"/>
      <c r="Q308" s="18"/>
      <c r="R308" s="21"/>
      <c r="S308" s="22"/>
      <c r="T308" s="23"/>
      <c r="U308" s="23"/>
      <c r="V308" s="23"/>
      <c r="W308" s="23"/>
      <c r="X308" s="23"/>
      <c r="Y308" s="24"/>
      <c r="Z308" s="23"/>
      <c r="AA308" s="23"/>
      <c r="AB308" s="23"/>
      <c r="AC308" s="23"/>
    </row>
    <row r="309" ht="32.25" customHeight="1">
      <c r="A309" s="27" t="s">
        <v>912</v>
      </c>
      <c r="B309" s="27" t="s">
        <v>913</v>
      </c>
      <c r="C309" s="27" t="s">
        <v>416</v>
      </c>
      <c r="D309" s="27" t="s">
        <v>409</v>
      </c>
      <c r="E309" s="27" t="s">
        <v>911</v>
      </c>
      <c r="F309" s="37"/>
      <c r="G309" s="27" t="s">
        <v>38</v>
      </c>
      <c r="H309" s="29">
        <v>45940.0</v>
      </c>
      <c r="I309" s="36"/>
      <c r="J309" s="29">
        <v>46188.0</v>
      </c>
      <c r="K309" s="30">
        <f t="shared" si="3"/>
        <v>248</v>
      </c>
      <c r="L309" s="27" t="s">
        <v>40</v>
      </c>
      <c r="M309" s="41"/>
      <c r="N309" s="33"/>
      <c r="O309" s="27" t="s">
        <v>41</v>
      </c>
      <c r="P309" s="27"/>
      <c r="Q309" s="41"/>
      <c r="R309" s="35"/>
      <c r="S309" s="36"/>
      <c r="T309" s="37"/>
      <c r="U309" s="37"/>
      <c r="V309" s="37"/>
      <c r="W309" s="37"/>
      <c r="X309" s="37"/>
      <c r="Y309" s="38"/>
      <c r="Z309" s="37"/>
      <c r="AA309" s="37"/>
      <c r="AB309" s="37"/>
      <c r="AC309" s="37"/>
    </row>
    <row r="310" ht="53.25" customHeight="1">
      <c r="A310" s="13" t="s">
        <v>914</v>
      </c>
      <c r="B310" s="13" t="s">
        <v>915</v>
      </c>
      <c r="C310" s="13" t="s">
        <v>133</v>
      </c>
      <c r="D310" s="13" t="s">
        <v>35</v>
      </c>
      <c r="E310" s="13" t="s">
        <v>916</v>
      </c>
      <c r="F310" s="23"/>
      <c r="G310" s="13" t="s">
        <v>49</v>
      </c>
      <c r="H310" s="15">
        <v>45859.0</v>
      </c>
      <c r="I310" s="22"/>
      <c r="J310" s="15">
        <v>45990.0</v>
      </c>
      <c r="K310" s="17">
        <f t="shared" si="3"/>
        <v>131</v>
      </c>
      <c r="L310" s="13" t="s">
        <v>40</v>
      </c>
      <c r="M310" s="18"/>
      <c r="N310" s="26"/>
      <c r="O310" s="13" t="s">
        <v>81</v>
      </c>
      <c r="P310" s="13" t="s">
        <v>42</v>
      </c>
      <c r="Q310" s="18"/>
      <c r="R310" s="21"/>
      <c r="S310" s="22"/>
      <c r="T310" s="23"/>
      <c r="U310" s="23"/>
      <c r="V310" s="23"/>
      <c r="W310" s="23"/>
      <c r="X310" s="23"/>
      <c r="Y310" s="24"/>
      <c r="Z310" s="23"/>
      <c r="AA310" s="23"/>
      <c r="AB310" s="23"/>
      <c r="AC310" s="23"/>
    </row>
    <row r="311" ht="42.75" customHeight="1">
      <c r="A311" s="27" t="s">
        <v>917</v>
      </c>
      <c r="B311" s="27" t="s">
        <v>918</v>
      </c>
      <c r="C311" s="27" t="s">
        <v>133</v>
      </c>
      <c r="D311" s="27" t="s">
        <v>35</v>
      </c>
      <c r="E311" s="27" t="s">
        <v>919</v>
      </c>
      <c r="F311" s="37"/>
      <c r="G311" s="27" t="s">
        <v>49</v>
      </c>
      <c r="H311" s="29">
        <v>45898.0</v>
      </c>
      <c r="I311" s="36"/>
      <c r="J311" s="29">
        <v>45987.0</v>
      </c>
      <c r="K311" s="30">
        <f t="shared" si="3"/>
        <v>89</v>
      </c>
      <c r="L311" s="27" t="s">
        <v>40</v>
      </c>
      <c r="M311" s="41"/>
      <c r="N311" s="33"/>
      <c r="O311" s="27" t="s">
        <v>81</v>
      </c>
      <c r="P311" s="27" t="s">
        <v>42</v>
      </c>
      <c r="Q311" s="41"/>
      <c r="R311" s="35"/>
      <c r="S311" s="36"/>
      <c r="T311" s="37"/>
      <c r="U311" s="37"/>
      <c r="V311" s="37"/>
      <c r="W311" s="37"/>
      <c r="X311" s="37"/>
      <c r="Y311" s="38"/>
      <c r="Z311" s="37"/>
      <c r="AA311" s="37"/>
      <c r="AB311" s="37"/>
      <c r="AC311" s="37"/>
    </row>
    <row r="312" ht="53.25" customHeight="1">
      <c r="A312" s="13" t="s">
        <v>920</v>
      </c>
      <c r="B312" s="13" t="s">
        <v>921</v>
      </c>
      <c r="C312" s="13" t="s">
        <v>133</v>
      </c>
      <c r="D312" s="13" t="s">
        <v>35</v>
      </c>
      <c r="E312" s="13" t="s">
        <v>180</v>
      </c>
      <c r="F312" s="23"/>
      <c r="G312" s="13" t="s">
        <v>49</v>
      </c>
      <c r="H312" s="15">
        <v>45858.0</v>
      </c>
      <c r="I312" s="22"/>
      <c r="J312" s="15">
        <v>45986.0</v>
      </c>
      <c r="K312" s="17">
        <f t="shared" si="3"/>
        <v>128</v>
      </c>
      <c r="L312" s="13" t="s">
        <v>40</v>
      </c>
      <c r="M312" s="18"/>
      <c r="N312" s="26"/>
      <c r="O312" s="13" t="s">
        <v>51</v>
      </c>
      <c r="P312" s="13" t="s">
        <v>42</v>
      </c>
      <c r="Q312" s="18"/>
      <c r="R312" s="21"/>
      <c r="S312" s="22"/>
      <c r="T312" s="23"/>
      <c r="U312" s="23"/>
      <c r="V312" s="23"/>
      <c r="W312" s="23"/>
      <c r="X312" s="23"/>
      <c r="Y312" s="24"/>
      <c r="Z312" s="23"/>
      <c r="AA312" s="23"/>
      <c r="AB312" s="23"/>
      <c r="AC312" s="23"/>
    </row>
    <row r="313" ht="42.75" customHeight="1">
      <c r="A313" s="27" t="s">
        <v>922</v>
      </c>
      <c r="B313" s="27" t="s">
        <v>923</v>
      </c>
      <c r="C313" s="27" t="s">
        <v>133</v>
      </c>
      <c r="D313" s="27" t="s">
        <v>35</v>
      </c>
      <c r="E313" s="27" t="s">
        <v>174</v>
      </c>
      <c r="F313" s="37"/>
      <c r="G313" s="27" t="s">
        <v>49</v>
      </c>
      <c r="H313" s="29">
        <v>45897.0</v>
      </c>
      <c r="I313" s="36"/>
      <c r="J313" s="29">
        <v>45969.0</v>
      </c>
      <c r="K313" s="30">
        <f t="shared" si="3"/>
        <v>72</v>
      </c>
      <c r="L313" s="27" t="s">
        <v>40</v>
      </c>
      <c r="M313" s="41"/>
      <c r="N313" s="33"/>
      <c r="O313" s="27" t="s">
        <v>81</v>
      </c>
      <c r="P313" s="27" t="s">
        <v>42</v>
      </c>
      <c r="Q313" s="41"/>
      <c r="R313" s="35"/>
      <c r="S313" s="36"/>
      <c r="T313" s="37"/>
      <c r="U313" s="37"/>
      <c r="V313" s="37"/>
      <c r="W313" s="37"/>
      <c r="X313" s="37"/>
      <c r="Y313" s="38"/>
      <c r="Z313" s="37"/>
      <c r="AA313" s="37"/>
      <c r="AB313" s="37"/>
      <c r="AC313" s="37"/>
    </row>
    <row r="314" ht="42.75" customHeight="1">
      <c r="A314" s="13" t="s">
        <v>924</v>
      </c>
      <c r="B314" s="13" t="s">
        <v>925</v>
      </c>
      <c r="C314" s="13" t="s">
        <v>133</v>
      </c>
      <c r="D314" s="13" t="s">
        <v>35</v>
      </c>
      <c r="E314" s="13" t="s">
        <v>926</v>
      </c>
      <c r="F314" s="23"/>
      <c r="G314" s="13" t="s">
        <v>49</v>
      </c>
      <c r="H314" s="15">
        <v>45898.0</v>
      </c>
      <c r="I314" s="22"/>
      <c r="J314" s="15">
        <v>45951.0</v>
      </c>
      <c r="K314" s="17">
        <f t="shared" si="3"/>
        <v>53</v>
      </c>
      <c r="L314" s="13" t="s">
        <v>40</v>
      </c>
      <c r="M314" s="18"/>
      <c r="N314" s="26"/>
      <c r="O314" s="13" t="s">
        <v>51</v>
      </c>
      <c r="P314" s="13" t="s">
        <v>42</v>
      </c>
      <c r="Q314" s="18"/>
      <c r="R314" s="21"/>
      <c r="S314" s="22"/>
      <c r="T314" s="23"/>
      <c r="U314" s="23"/>
      <c r="V314" s="23"/>
      <c r="W314" s="23"/>
      <c r="X314" s="23"/>
      <c r="Y314" s="24"/>
      <c r="Z314" s="23"/>
      <c r="AA314" s="23"/>
      <c r="AB314" s="23"/>
      <c r="AC314" s="23"/>
    </row>
    <row r="315" ht="42.75" customHeight="1">
      <c r="A315" s="27" t="s">
        <v>927</v>
      </c>
      <c r="B315" s="27" t="s">
        <v>928</v>
      </c>
      <c r="C315" s="27" t="s">
        <v>133</v>
      </c>
      <c r="D315" s="27" t="s">
        <v>35</v>
      </c>
      <c r="E315" s="27" t="s">
        <v>929</v>
      </c>
      <c r="F315" s="28" t="s">
        <v>220</v>
      </c>
      <c r="G315" s="27" t="s">
        <v>49</v>
      </c>
      <c r="H315" s="29">
        <v>45787.0</v>
      </c>
      <c r="I315" s="36"/>
      <c r="J315" s="29">
        <v>45853.0</v>
      </c>
      <c r="K315" s="30">
        <f t="shared" si="3"/>
        <v>66</v>
      </c>
      <c r="L315" s="27" t="s">
        <v>40</v>
      </c>
      <c r="M315" s="41"/>
      <c r="N315" s="33"/>
      <c r="O315" s="27" t="s">
        <v>81</v>
      </c>
      <c r="P315" s="27" t="s">
        <v>42</v>
      </c>
      <c r="Q315" s="41"/>
      <c r="R315" s="35"/>
      <c r="S315" s="36"/>
      <c r="T315" s="37"/>
      <c r="U315" s="37"/>
      <c r="V315" s="37"/>
      <c r="W315" s="37"/>
      <c r="X315" s="37"/>
      <c r="Y315" s="38"/>
      <c r="Z315" s="37"/>
      <c r="AA315" s="37"/>
      <c r="AB315" s="37"/>
      <c r="AC315" s="37"/>
    </row>
    <row r="316" ht="53.25" customHeight="1">
      <c r="A316" s="13" t="s">
        <v>930</v>
      </c>
      <c r="B316" s="13" t="s">
        <v>931</v>
      </c>
      <c r="C316" s="13" t="s">
        <v>133</v>
      </c>
      <c r="D316" s="13" t="s">
        <v>35</v>
      </c>
      <c r="E316" s="13" t="s">
        <v>932</v>
      </c>
      <c r="F316" s="23"/>
      <c r="G316" s="13" t="s">
        <v>49</v>
      </c>
      <c r="H316" s="15">
        <v>45869.0</v>
      </c>
      <c r="I316" s="22"/>
      <c r="J316" s="15">
        <v>45923.0</v>
      </c>
      <c r="K316" s="17">
        <f t="shared" si="3"/>
        <v>54</v>
      </c>
      <c r="L316" s="13" t="s">
        <v>40</v>
      </c>
      <c r="M316" s="18"/>
      <c r="N316" s="26"/>
      <c r="O316" s="13" t="s">
        <v>81</v>
      </c>
      <c r="P316" s="13" t="s">
        <v>42</v>
      </c>
      <c r="Q316" s="18"/>
      <c r="R316" s="21"/>
      <c r="S316" s="22"/>
      <c r="T316" s="23"/>
      <c r="U316" s="23"/>
      <c r="V316" s="23"/>
      <c r="W316" s="23"/>
      <c r="X316" s="23"/>
      <c r="Y316" s="24"/>
      <c r="Z316" s="23"/>
      <c r="AA316" s="23"/>
      <c r="AB316" s="23"/>
      <c r="AC316" s="23"/>
    </row>
    <row r="317" ht="32.25" customHeight="1">
      <c r="A317" s="27" t="s">
        <v>933</v>
      </c>
      <c r="B317" s="27" t="s">
        <v>934</v>
      </c>
      <c r="C317" s="27" t="s">
        <v>133</v>
      </c>
      <c r="D317" s="27" t="s">
        <v>35</v>
      </c>
      <c r="E317" s="27" t="s">
        <v>935</v>
      </c>
      <c r="F317" s="37"/>
      <c r="G317" s="27" t="s">
        <v>49</v>
      </c>
      <c r="H317" s="29">
        <v>45710.0</v>
      </c>
      <c r="I317" s="36"/>
      <c r="J317" s="29">
        <v>45907.0</v>
      </c>
      <c r="K317" s="30">
        <f t="shared" si="3"/>
        <v>197</v>
      </c>
      <c r="L317" s="27" t="s">
        <v>40</v>
      </c>
      <c r="M317" s="41"/>
      <c r="N317" s="33"/>
      <c r="O317" s="27" t="s">
        <v>81</v>
      </c>
      <c r="P317" s="27" t="s">
        <v>42</v>
      </c>
      <c r="Q317" s="41"/>
      <c r="R317" s="35"/>
      <c r="S317" s="36"/>
      <c r="T317" s="37"/>
      <c r="U317" s="37"/>
      <c r="V317" s="37"/>
      <c r="W317" s="37"/>
      <c r="X317" s="37"/>
      <c r="Y317" s="38"/>
      <c r="Z317" s="37"/>
      <c r="AA317" s="37"/>
      <c r="AB317" s="37"/>
      <c r="AC317" s="37"/>
    </row>
    <row r="318" ht="63.75" customHeight="1">
      <c r="A318" s="13" t="s">
        <v>936</v>
      </c>
      <c r="B318" s="13" t="s">
        <v>937</v>
      </c>
      <c r="C318" s="13" t="s">
        <v>133</v>
      </c>
      <c r="D318" s="13" t="s">
        <v>35</v>
      </c>
      <c r="E318" s="13" t="s">
        <v>140</v>
      </c>
      <c r="F318" s="23"/>
      <c r="G318" s="13" t="s">
        <v>49</v>
      </c>
      <c r="H318" s="15">
        <v>45847.0</v>
      </c>
      <c r="I318" s="22"/>
      <c r="J318" s="15">
        <v>45900.0</v>
      </c>
      <c r="K318" s="17">
        <f t="shared" si="3"/>
        <v>53</v>
      </c>
      <c r="L318" s="13" t="s">
        <v>40</v>
      </c>
      <c r="M318" s="18"/>
      <c r="N318" s="26"/>
      <c r="O318" s="13" t="s">
        <v>81</v>
      </c>
      <c r="P318" s="13" t="s">
        <v>42</v>
      </c>
      <c r="Q318" s="18"/>
      <c r="R318" s="21"/>
      <c r="S318" s="22"/>
      <c r="T318" s="23"/>
      <c r="U318" s="23"/>
      <c r="V318" s="23"/>
      <c r="W318" s="23"/>
      <c r="X318" s="23"/>
      <c r="Y318" s="24"/>
      <c r="Z318" s="23"/>
      <c r="AA318" s="23"/>
      <c r="AB318" s="23"/>
      <c r="AC318" s="23"/>
    </row>
    <row r="319" ht="63.75" customHeight="1">
      <c r="A319" s="27" t="s">
        <v>938</v>
      </c>
      <c r="B319" s="27" t="s">
        <v>939</v>
      </c>
      <c r="C319" s="27" t="s">
        <v>133</v>
      </c>
      <c r="D319" s="27" t="s">
        <v>35</v>
      </c>
      <c r="E319" s="27" t="s">
        <v>926</v>
      </c>
      <c r="F319" s="37"/>
      <c r="G319" s="27" t="s">
        <v>49</v>
      </c>
      <c r="H319" s="29">
        <v>45859.0</v>
      </c>
      <c r="I319" s="36"/>
      <c r="J319" s="29">
        <v>45895.0</v>
      </c>
      <c r="K319" s="30">
        <f t="shared" si="3"/>
        <v>36</v>
      </c>
      <c r="L319" s="27" t="s">
        <v>40</v>
      </c>
      <c r="M319" s="41"/>
      <c r="N319" s="33"/>
      <c r="O319" s="27" t="s">
        <v>81</v>
      </c>
      <c r="P319" s="27" t="s">
        <v>42</v>
      </c>
      <c r="Q319" s="41"/>
      <c r="R319" s="35"/>
      <c r="S319" s="36"/>
      <c r="T319" s="37"/>
      <c r="U319" s="37"/>
      <c r="V319" s="37"/>
      <c r="W319" s="37"/>
      <c r="X319" s="37"/>
      <c r="Y319" s="38"/>
      <c r="Z319" s="37"/>
      <c r="AA319" s="37"/>
      <c r="AB319" s="37"/>
      <c r="AC319" s="37"/>
    </row>
    <row r="320" ht="63.75" customHeight="1">
      <c r="A320" s="13" t="s">
        <v>940</v>
      </c>
      <c r="B320" s="13" t="s">
        <v>941</v>
      </c>
      <c r="C320" s="13" t="s">
        <v>133</v>
      </c>
      <c r="D320" s="13" t="s">
        <v>35</v>
      </c>
      <c r="E320" s="13" t="s">
        <v>942</v>
      </c>
      <c r="F320" s="23"/>
      <c r="G320" s="13" t="s">
        <v>49</v>
      </c>
      <c r="H320" s="15">
        <v>45814.0</v>
      </c>
      <c r="I320" s="22"/>
      <c r="J320" s="15">
        <v>45884.0</v>
      </c>
      <c r="K320" s="17">
        <f t="shared" si="3"/>
        <v>70</v>
      </c>
      <c r="L320" s="13" t="s">
        <v>40</v>
      </c>
      <c r="M320" s="18"/>
      <c r="N320" s="26"/>
      <c r="O320" s="13" t="s">
        <v>81</v>
      </c>
      <c r="P320" s="13" t="s">
        <v>42</v>
      </c>
      <c r="Q320" s="18"/>
      <c r="R320" s="21"/>
      <c r="S320" s="22"/>
      <c r="T320" s="23"/>
      <c r="U320" s="23"/>
      <c r="V320" s="23"/>
      <c r="W320" s="23"/>
      <c r="X320" s="23"/>
      <c r="Y320" s="24"/>
      <c r="Z320" s="23"/>
      <c r="AA320" s="23"/>
      <c r="AB320" s="23"/>
      <c r="AC320" s="23"/>
    </row>
    <row r="321" ht="42.75" customHeight="1">
      <c r="A321" s="27" t="s">
        <v>943</v>
      </c>
      <c r="B321" s="27" t="s">
        <v>944</v>
      </c>
      <c r="C321" s="27" t="s">
        <v>133</v>
      </c>
      <c r="D321" s="27" t="s">
        <v>35</v>
      </c>
      <c r="E321" s="27" t="s">
        <v>945</v>
      </c>
      <c r="F321" s="37"/>
      <c r="G321" s="27" t="s">
        <v>49</v>
      </c>
      <c r="H321" s="29">
        <v>45820.0</v>
      </c>
      <c r="I321" s="36"/>
      <c r="J321" s="29">
        <v>45874.0</v>
      </c>
      <c r="K321" s="30">
        <f t="shared" si="3"/>
        <v>54</v>
      </c>
      <c r="L321" s="27" t="s">
        <v>40</v>
      </c>
      <c r="M321" s="41"/>
      <c r="N321" s="33"/>
      <c r="O321" s="27" t="s">
        <v>81</v>
      </c>
      <c r="P321" s="27" t="s">
        <v>42</v>
      </c>
      <c r="Q321" s="41"/>
      <c r="R321" s="35"/>
      <c r="S321" s="36"/>
      <c r="T321" s="37"/>
      <c r="U321" s="37"/>
      <c r="V321" s="37"/>
      <c r="W321" s="37"/>
      <c r="X321" s="37"/>
      <c r="Y321" s="38"/>
      <c r="Z321" s="37"/>
      <c r="AA321" s="37"/>
      <c r="AB321" s="37"/>
      <c r="AC321" s="37"/>
    </row>
    <row r="322" ht="53.25" customHeight="1">
      <c r="A322" s="13" t="s">
        <v>946</v>
      </c>
      <c r="B322" s="13" t="s">
        <v>947</v>
      </c>
      <c r="C322" s="13" t="s">
        <v>133</v>
      </c>
      <c r="D322" s="13" t="s">
        <v>35</v>
      </c>
      <c r="E322" s="13" t="s">
        <v>926</v>
      </c>
      <c r="F322" s="23"/>
      <c r="G322" s="13" t="s">
        <v>49</v>
      </c>
      <c r="H322" s="15">
        <v>45750.0</v>
      </c>
      <c r="I322" s="22"/>
      <c r="J322" s="15">
        <v>45868.0</v>
      </c>
      <c r="K322" s="17">
        <f t="shared" si="3"/>
        <v>118</v>
      </c>
      <c r="L322" s="13" t="s">
        <v>40</v>
      </c>
      <c r="M322" s="18"/>
      <c r="N322" s="26"/>
      <c r="O322" s="13" t="s">
        <v>81</v>
      </c>
      <c r="P322" s="13" t="s">
        <v>42</v>
      </c>
      <c r="Q322" s="18"/>
      <c r="R322" s="21"/>
      <c r="S322" s="22"/>
      <c r="T322" s="23"/>
      <c r="U322" s="23"/>
      <c r="V322" s="23"/>
      <c r="W322" s="23"/>
      <c r="X322" s="23"/>
      <c r="Y322" s="24"/>
      <c r="Z322" s="23"/>
      <c r="AA322" s="23"/>
      <c r="AB322" s="23"/>
      <c r="AC322" s="23"/>
    </row>
    <row r="323" ht="53.25" customHeight="1">
      <c r="A323" s="27" t="s">
        <v>948</v>
      </c>
      <c r="B323" s="27" t="s">
        <v>949</v>
      </c>
      <c r="C323" s="27" t="s">
        <v>133</v>
      </c>
      <c r="D323" s="27" t="s">
        <v>35</v>
      </c>
      <c r="E323" s="27" t="s">
        <v>926</v>
      </c>
      <c r="F323" s="37"/>
      <c r="G323" s="27" t="s">
        <v>49</v>
      </c>
      <c r="H323" s="29">
        <v>45798.0</v>
      </c>
      <c r="I323" s="36"/>
      <c r="J323" s="29">
        <v>45860.0</v>
      </c>
      <c r="K323" s="30">
        <f t="shared" si="3"/>
        <v>62</v>
      </c>
      <c r="L323" s="27" t="s">
        <v>40</v>
      </c>
      <c r="M323" s="41"/>
      <c r="N323" s="33"/>
      <c r="O323" s="27" t="s">
        <v>81</v>
      </c>
      <c r="P323" s="27" t="s">
        <v>42</v>
      </c>
      <c r="Q323" s="41"/>
      <c r="R323" s="35"/>
      <c r="S323" s="36"/>
      <c r="T323" s="37"/>
      <c r="U323" s="37"/>
      <c r="V323" s="37"/>
      <c r="W323" s="37"/>
      <c r="X323" s="37"/>
      <c r="Y323" s="38"/>
      <c r="Z323" s="37"/>
      <c r="AA323" s="37"/>
      <c r="AB323" s="37"/>
      <c r="AC323" s="37"/>
    </row>
    <row r="324" ht="74.25" customHeight="1">
      <c r="A324" s="13" t="s">
        <v>950</v>
      </c>
      <c r="B324" s="13" t="s">
        <v>951</v>
      </c>
      <c r="C324" s="13" t="s">
        <v>133</v>
      </c>
      <c r="D324" s="13" t="s">
        <v>35</v>
      </c>
      <c r="E324" s="13" t="s">
        <v>952</v>
      </c>
      <c r="F324" s="23"/>
      <c r="G324" s="13" t="s">
        <v>49</v>
      </c>
      <c r="H324" s="15">
        <v>45760.0</v>
      </c>
      <c r="I324" s="22"/>
      <c r="J324" s="15">
        <v>45857.0</v>
      </c>
      <c r="K324" s="17">
        <f t="shared" si="3"/>
        <v>97</v>
      </c>
      <c r="L324" s="13" t="s">
        <v>40</v>
      </c>
      <c r="M324" s="18"/>
      <c r="N324" s="26"/>
      <c r="O324" s="13" t="s">
        <v>81</v>
      </c>
      <c r="P324" s="13" t="s">
        <v>42</v>
      </c>
      <c r="Q324" s="18"/>
      <c r="R324" s="21"/>
      <c r="S324" s="22"/>
      <c r="T324" s="23"/>
      <c r="U324" s="23"/>
      <c r="V324" s="23"/>
      <c r="W324" s="23"/>
      <c r="X324" s="23"/>
      <c r="Y324" s="24"/>
      <c r="Z324" s="23"/>
      <c r="AA324" s="23"/>
      <c r="AB324" s="23"/>
      <c r="AC324" s="23"/>
    </row>
    <row r="325" ht="74.25" customHeight="1">
      <c r="A325" s="27" t="s">
        <v>953</v>
      </c>
      <c r="B325" s="27" t="s">
        <v>954</v>
      </c>
      <c r="C325" s="27" t="s">
        <v>133</v>
      </c>
      <c r="D325" s="27" t="s">
        <v>35</v>
      </c>
      <c r="E325" s="27" t="s">
        <v>955</v>
      </c>
      <c r="F325" s="28" t="s">
        <v>220</v>
      </c>
      <c r="G325" s="27" t="s">
        <v>49</v>
      </c>
      <c r="H325" s="29">
        <v>45519.0</v>
      </c>
      <c r="I325" s="36"/>
      <c r="J325" s="29">
        <v>45591.0</v>
      </c>
      <c r="K325" s="30">
        <f t="shared" si="3"/>
        <v>72</v>
      </c>
      <c r="L325" s="27" t="s">
        <v>40</v>
      </c>
      <c r="M325" s="41"/>
      <c r="N325" s="33"/>
      <c r="O325" s="27" t="s">
        <v>81</v>
      </c>
      <c r="P325" s="27" t="s">
        <v>42</v>
      </c>
      <c r="Q325" s="41"/>
      <c r="R325" s="35"/>
      <c r="S325" s="36"/>
      <c r="T325" s="37"/>
      <c r="U325" s="37"/>
      <c r="V325" s="37"/>
      <c r="W325" s="37"/>
      <c r="X325" s="37"/>
      <c r="Y325" s="38"/>
      <c r="Z325" s="37"/>
      <c r="AA325" s="37"/>
      <c r="AB325" s="37"/>
      <c r="AC325" s="37"/>
    </row>
    <row r="326" ht="32.25" customHeight="1">
      <c r="A326" s="13" t="s">
        <v>956</v>
      </c>
      <c r="B326" s="13" t="s">
        <v>957</v>
      </c>
      <c r="C326" s="13" t="s">
        <v>629</v>
      </c>
      <c r="D326" s="13" t="s">
        <v>409</v>
      </c>
      <c r="E326" s="20" t="s">
        <v>958</v>
      </c>
      <c r="F326" s="14" t="s">
        <v>37</v>
      </c>
      <c r="G326" s="13" t="s">
        <v>49</v>
      </c>
      <c r="H326" s="15">
        <v>46024.0</v>
      </c>
      <c r="I326" s="15">
        <v>46024.0</v>
      </c>
      <c r="J326" s="15">
        <v>46077.0</v>
      </c>
      <c r="K326" s="17">
        <f t="shared" si="3"/>
        <v>53</v>
      </c>
      <c r="L326" s="13" t="s">
        <v>40</v>
      </c>
      <c r="M326" s="13" t="s">
        <v>959</v>
      </c>
      <c r="N326" s="19">
        <v>8.311</v>
      </c>
      <c r="O326" s="20" t="s">
        <v>905</v>
      </c>
      <c r="P326" s="20" t="s">
        <v>59</v>
      </c>
      <c r="Q326" s="60" t="s">
        <v>960</v>
      </c>
      <c r="R326" s="21"/>
      <c r="S326" s="22"/>
      <c r="T326" s="23"/>
      <c r="U326" s="23"/>
      <c r="V326" s="23"/>
      <c r="W326" s="23"/>
      <c r="X326" s="23"/>
      <c r="Y326" s="24"/>
      <c r="Z326" s="23"/>
      <c r="AA326" s="23"/>
      <c r="AB326" s="23"/>
      <c r="AC326" s="23"/>
    </row>
    <row r="327" ht="39.0" customHeight="1">
      <c r="A327" s="27" t="s">
        <v>961</v>
      </c>
      <c r="B327" s="27" t="s">
        <v>962</v>
      </c>
      <c r="C327" s="27" t="s">
        <v>629</v>
      </c>
      <c r="D327" s="27" t="s">
        <v>409</v>
      </c>
      <c r="E327" s="27" t="s">
        <v>963</v>
      </c>
      <c r="F327" s="28" t="s">
        <v>37</v>
      </c>
      <c r="G327" s="27" t="s">
        <v>49</v>
      </c>
      <c r="H327" s="29">
        <v>46024.0</v>
      </c>
      <c r="I327" s="15">
        <v>46024.0</v>
      </c>
      <c r="J327" s="29">
        <v>46077.0</v>
      </c>
      <c r="K327" s="30">
        <f t="shared" si="3"/>
        <v>53</v>
      </c>
      <c r="L327" s="27" t="s">
        <v>40</v>
      </c>
      <c r="M327" s="27" t="s">
        <v>959</v>
      </c>
      <c r="N327" s="19">
        <v>8.311</v>
      </c>
      <c r="O327" s="31" t="s">
        <v>905</v>
      </c>
      <c r="P327" s="31" t="s">
        <v>59</v>
      </c>
      <c r="Q327" s="60" t="s">
        <v>964</v>
      </c>
      <c r="R327" s="35"/>
      <c r="S327" s="36"/>
      <c r="T327" s="37"/>
      <c r="U327" s="37"/>
      <c r="V327" s="37"/>
      <c r="W327" s="37"/>
      <c r="X327" s="37"/>
      <c r="Y327" s="38"/>
      <c r="Z327" s="37"/>
      <c r="AA327" s="37"/>
      <c r="AB327" s="37"/>
      <c r="AC327" s="37"/>
    </row>
    <row r="328" ht="38.25" customHeight="1">
      <c r="A328" s="13" t="s">
        <v>965</v>
      </c>
      <c r="B328" s="13" t="s">
        <v>966</v>
      </c>
      <c r="C328" s="13" t="s">
        <v>629</v>
      </c>
      <c r="D328" s="13" t="s">
        <v>409</v>
      </c>
      <c r="E328" s="13" t="s">
        <v>967</v>
      </c>
      <c r="F328" s="14" t="s">
        <v>37</v>
      </c>
      <c r="G328" s="13" t="s">
        <v>49</v>
      </c>
      <c r="H328" s="15">
        <v>46024.0</v>
      </c>
      <c r="I328" s="15">
        <v>46024.0</v>
      </c>
      <c r="J328" s="15">
        <v>46077.0</v>
      </c>
      <c r="K328" s="17">
        <f t="shared" si="3"/>
        <v>53</v>
      </c>
      <c r="L328" s="13" t="s">
        <v>40</v>
      </c>
      <c r="M328" s="13" t="s">
        <v>959</v>
      </c>
      <c r="N328" s="19">
        <v>8.311</v>
      </c>
      <c r="O328" s="20" t="s">
        <v>905</v>
      </c>
      <c r="P328" s="20" t="s">
        <v>59</v>
      </c>
      <c r="Q328" s="60" t="s">
        <v>968</v>
      </c>
      <c r="R328" s="21"/>
      <c r="S328" s="22"/>
      <c r="T328" s="23"/>
      <c r="U328" s="23"/>
      <c r="V328" s="23"/>
      <c r="W328" s="23"/>
      <c r="X328" s="23"/>
      <c r="Y328" s="24"/>
      <c r="Z328" s="23"/>
      <c r="AA328" s="23"/>
      <c r="AB328" s="23"/>
      <c r="AC328" s="23"/>
    </row>
    <row r="329" ht="36.0" customHeight="1">
      <c r="A329" s="27" t="s">
        <v>969</v>
      </c>
      <c r="B329" s="27" t="s">
        <v>970</v>
      </c>
      <c r="C329" s="27" t="s">
        <v>629</v>
      </c>
      <c r="D329" s="27" t="s">
        <v>409</v>
      </c>
      <c r="E329" s="27" t="s">
        <v>971</v>
      </c>
      <c r="F329" s="28" t="s">
        <v>37</v>
      </c>
      <c r="G329" s="27" t="s">
        <v>49</v>
      </c>
      <c r="H329" s="29">
        <v>46024.0</v>
      </c>
      <c r="I329" s="15">
        <v>46024.0</v>
      </c>
      <c r="J329" s="29">
        <v>46077.0</v>
      </c>
      <c r="K329" s="30">
        <f t="shared" si="3"/>
        <v>53</v>
      </c>
      <c r="L329" s="27" t="s">
        <v>40</v>
      </c>
      <c r="M329" s="27" t="s">
        <v>959</v>
      </c>
      <c r="N329" s="19">
        <v>8.311</v>
      </c>
      <c r="O329" s="31" t="s">
        <v>905</v>
      </c>
      <c r="P329" s="31" t="s">
        <v>59</v>
      </c>
      <c r="Q329" s="60" t="s">
        <v>972</v>
      </c>
      <c r="R329" s="35"/>
      <c r="S329" s="36"/>
      <c r="T329" s="37"/>
      <c r="U329" s="37"/>
      <c r="V329" s="37"/>
      <c r="W329" s="37"/>
      <c r="X329" s="37"/>
      <c r="Y329" s="38"/>
      <c r="Z329" s="37"/>
      <c r="AA329" s="37"/>
      <c r="AB329" s="37"/>
      <c r="AC329" s="37"/>
    </row>
    <row r="330" ht="30.75" customHeight="1">
      <c r="A330" s="13" t="s">
        <v>973</v>
      </c>
      <c r="B330" s="13" t="s">
        <v>974</v>
      </c>
      <c r="C330" s="13" t="s">
        <v>629</v>
      </c>
      <c r="D330" s="13" t="s">
        <v>409</v>
      </c>
      <c r="E330" s="13" t="s">
        <v>975</v>
      </c>
      <c r="F330" s="14" t="s">
        <v>37</v>
      </c>
      <c r="G330" s="13" t="s">
        <v>49</v>
      </c>
      <c r="H330" s="15">
        <v>46024.0</v>
      </c>
      <c r="I330" s="15">
        <v>46024.0</v>
      </c>
      <c r="J330" s="15">
        <v>46077.0</v>
      </c>
      <c r="K330" s="17">
        <f t="shared" si="3"/>
        <v>53</v>
      </c>
      <c r="L330" s="13" t="s">
        <v>40</v>
      </c>
      <c r="M330" s="13" t="s">
        <v>959</v>
      </c>
      <c r="N330" s="19">
        <v>8.311</v>
      </c>
      <c r="O330" s="20" t="s">
        <v>905</v>
      </c>
      <c r="P330" s="20" t="s">
        <v>59</v>
      </c>
      <c r="Q330" s="60" t="s">
        <v>976</v>
      </c>
      <c r="R330" s="21"/>
      <c r="S330" s="22"/>
      <c r="T330" s="23"/>
      <c r="U330" s="23"/>
      <c r="V330" s="23"/>
      <c r="W330" s="23"/>
      <c r="X330" s="23"/>
      <c r="Y330" s="24"/>
      <c r="Z330" s="23"/>
      <c r="AA330" s="23"/>
      <c r="AB330" s="23"/>
      <c r="AC330" s="23"/>
    </row>
    <row r="331" ht="27.0" customHeight="1">
      <c r="A331" s="27" t="s">
        <v>977</v>
      </c>
      <c r="B331" s="27" t="s">
        <v>978</v>
      </c>
      <c r="C331" s="27" t="s">
        <v>629</v>
      </c>
      <c r="D331" s="27" t="s">
        <v>409</v>
      </c>
      <c r="E331" s="27" t="s">
        <v>979</v>
      </c>
      <c r="F331" s="28" t="s">
        <v>37</v>
      </c>
      <c r="G331" s="27" t="s">
        <v>49</v>
      </c>
      <c r="H331" s="29">
        <v>46024.0</v>
      </c>
      <c r="I331" s="15">
        <v>46024.0</v>
      </c>
      <c r="J331" s="29">
        <v>46077.0</v>
      </c>
      <c r="K331" s="30">
        <f t="shared" si="3"/>
        <v>53</v>
      </c>
      <c r="L331" s="27" t="s">
        <v>40</v>
      </c>
      <c r="M331" s="27" t="s">
        <v>959</v>
      </c>
      <c r="N331" s="19">
        <v>8.311</v>
      </c>
      <c r="O331" s="31" t="s">
        <v>905</v>
      </c>
      <c r="P331" s="31" t="s">
        <v>59</v>
      </c>
      <c r="Q331" s="60" t="s">
        <v>980</v>
      </c>
      <c r="R331" s="35"/>
      <c r="S331" s="36"/>
      <c r="T331" s="37"/>
      <c r="U331" s="37"/>
      <c r="V331" s="37"/>
      <c r="W331" s="37"/>
      <c r="X331" s="37"/>
      <c r="Y331" s="38"/>
      <c r="Z331" s="37"/>
      <c r="AA331" s="37"/>
      <c r="AB331" s="37"/>
      <c r="AC331" s="37"/>
    </row>
    <row r="332" ht="32.25" customHeight="1">
      <c r="A332" s="13" t="s">
        <v>981</v>
      </c>
      <c r="B332" s="13" t="s">
        <v>982</v>
      </c>
      <c r="C332" s="13" t="s">
        <v>629</v>
      </c>
      <c r="D332" s="13" t="s">
        <v>409</v>
      </c>
      <c r="E332" s="13" t="s">
        <v>983</v>
      </c>
      <c r="F332" s="14" t="s">
        <v>37</v>
      </c>
      <c r="G332" s="13" t="s">
        <v>49</v>
      </c>
      <c r="H332" s="15">
        <v>46024.0</v>
      </c>
      <c r="I332" s="15">
        <v>46024.0</v>
      </c>
      <c r="J332" s="15">
        <v>46077.0</v>
      </c>
      <c r="K332" s="17">
        <f t="shared" si="3"/>
        <v>53</v>
      </c>
      <c r="L332" s="13" t="s">
        <v>40</v>
      </c>
      <c r="M332" s="13" t="s">
        <v>959</v>
      </c>
      <c r="N332" s="19">
        <v>8.311</v>
      </c>
      <c r="O332" s="20" t="s">
        <v>905</v>
      </c>
      <c r="P332" s="20" t="s">
        <v>59</v>
      </c>
      <c r="Q332" s="60" t="s">
        <v>984</v>
      </c>
      <c r="R332" s="21"/>
      <c r="S332" s="22"/>
      <c r="T332" s="23"/>
      <c r="U332" s="23"/>
      <c r="V332" s="23"/>
      <c r="W332" s="23"/>
      <c r="X332" s="23"/>
      <c r="Y332" s="24"/>
      <c r="Z332" s="23"/>
      <c r="AA332" s="23"/>
      <c r="AB332" s="23"/>
      <c r="AC332" s="23"/>
    </row>
    <row r="333" ht="46.5" customHeight="1">
      <c r="A333" s="27" t="s">
        <v>985</v>
      </c>
      <c r="B333" s="27" t="s">
        <v>986</v>
      </c>
      <c r="C333" s="27" t="s">
        <v>629</v>
      </c>
      <c r="D333" s="27" t="s">
        <v>409</v>
      </c>
      <c r="E333" s="27" t="s">
        <v>987</v>
      </c>
      <c r="F333" s="28" t="s">
        <v>37</v>
      </c>
      <c r="G333" s="27" t="s">
        <v>49</v>
      </c>
      <c r="H333" s="29">
        <v>46024.0</v>
      </c>
      <c r="I333" s="15">
        <v>46024.0</v>
      </c>
      <c r="J333" s="29">
        <v>46077.0</v>
      </c>
      <c r="K333" s="30">
        <f t="shared" si="3"/>
        <v>53</v>
      </c>
      <c r="L333" s="27" t="s">
        <v>40</v>
      </c>
      <c r="M333" s="27" t="s">
        <v>959</v>
      </c>
      <c r="N333" s="19">
        <v>8.311</v>
      </c>
      <c r="O333" s="31" t="s">
        <v>905</v>
      </c>
      <c r="P333" s="31" t="s">
        <v>59</v>
      </c>
      <c r="Q333" s="60" t="s">
        <v>988</v>
      </c>
      <c r="R333" s="35"/>
      <c r="S333" s="36"/>
      <c r="T333" s="37"/>
      <c r="U333" s="37"/>
      <c r="V333" s="37"/>
      <c r="W333" s="37"/>
      <c r="X333" s="37"/>
      <c r="Y333" s="38"/>
      <c r="Z333" s="37"/>
      <c r="AA333" s="37"/>
      <c r="AB333" s="37"/>
      <c r="AC333" s="37"/>
    </row>
    <row r="334" ht="41.25" customHeight="1">
      <c r="A334" s="13" t="s">
        <v>989</v>
      </c>
      <c r="B334" s="13" t="s">
        <v>990</v>
      </c>
      <c r="C334" s="13" t="s">
        <v>629</v>
      </c>
      <c r="D334" s="13" t="s">
        <v>409</v>
      </c>
      <c r="E334" s="20" t="s">
        <v>991</v>
      </c>
      <c r="F334" s="14" t="s">
        <v>37</v>
      </c>
      <c r="G334" s="13" t="s">
        <v>49</v>
      </c>
      <c r="H334" s="15">
        <v>46024.0</v>
      </c>
      <c r="I334" s="15">
        <v>46024.0</v>
      </c>
      <c r="J334" s="15">
        <v>46077.0</v>
      </c>
      <c r="K334" s="17">
        <f t="shared" si="3"/>
        <v>53</v>
      </c>
      <c r="L334" s="13" t="s">
        <v>40</v>
      </c>
      <c r="M334" s="13" t="s">
        <v>959</v>
      </c>
      <c r="N334" s="19">
        <v>8.311</v>
      </c>
      <c r="O334" s="20" t="s">
        <v>905</v>
      </c>
      <c r="P334" s="20" t="s">
        <v>59</v>
      </c>
      <c r="Q334" s="60" t="s">
        <v>992</v>
      </c>
      <c r="R334" s="21"/>
      <c r="S334" s="22"/>
      <c r="T334" s="23"/>
      <c r="U334" s="23"/>
      <c r="V334" s="23"/>
      <c r="W334" s="23"/>
      <c r="X334" s="23"/>
      <c r="Y334" s="24"/>
      <c r="Z334" s="23"/>
      <c r="AA334" s="23"/>
      <c r="AB334" s="23"/>
      <c r="AC334" s="23"/>
    </row>
    <row r="335" ht="31.5" customHeight="1">
      <c r="A335" s="27" t="s">
        <v>993</v>
      </c>
      <c r="B335" s="27" t="s">
        <v>994</v>
      </c>
      <c r="C335" s="27" t="s">
        <v>629</v>
      </c>
      <c r="D335" s="27" t="s">
        <v>409</v>
      </c>
      <c r="E335" s="27" t="s">
        <v>995</v>
      </c>
      <c r="F335" s="28" t="s">
        <v>37</v>
      </c>
      <c r="G335" s="27" t="s">
        <v>49</v>
      </c>
      <c r="H335" s="29">
        <v>46024.0</v>
      </c>
      <c r="I335" s="15">
        <v>46024.0</v>
      </c>
      <c r="J335" s="29">
        <v>46077.0</v>
      </c>
      <c r="K335" s="30">
        <f t="shared" si="3"/>
        <v>53</v>
      </c>
      <c r="L335" s="27" t="s">
        <v>40</v>
      </c>
      <c r="M335" s="27" t="s">
        <v>959</v>
      </c>
      <c r="N335" s="19">
        <v>8.311</v>
      </c>
      <c r="O335" s="31" t="s">
        <v>905</v>
      </c>
      <c r="P335" s="31" t="s">
        <v>59</v>
      </c>
      <c r="Q335" s="60" t="s">
        <v>996</v>
      </c>
      <c r="R335" s="35"/>
      <c r="S335" s="36"/>
      <c r="T335" s="37"/>
      <c r="U335" s="37"/>
      <c r="V335" s="37"/>
      <c r="W335" s="37"/>
      <c r="X335" s="37"/>
      <c r="Y335" s="38"/>
      <c r="Z335" s="37"/>
      <c r="AA335" s="37"/>
      <c r="AB335" s="37"/>
      <c r="AC335" s="37"/>
    </row>
    <row r="336" ht="21.75" customHeight="1">
      <c r="A336" s="13" t="s">
        <v>997</v>
      </c>
      <c r="B336" s="13" t="s">
        <v>998</v>
      </c>
      <c r="C336" s="20" t="s">
        <v>84</v>
      </c>
      <c r="D336" s="13" t="s">
        <v>35</v>
      </c>
      <c r="E336" s="13" t="s">
        <v>999</v>
      </c>
      <c r="F336" s="23"/>
      <c r="G336" s="13" t="s">
        <v>38</v>
      </c>
      <c r="H336" s="15">
        <v>46097.0</v>
      </c>
      <c r="I336" s="22"/>
      <c r="J336" s="15"/>
      <c r="K336" s="17" t="str">
        <f t="shared" si="3"/>
        <v/>
      </c>
      <c r="L336" s="13" t="s">
        <v>40</v>
      </c>
      <c r="M336" s="18"/>
      <c r="N336" s="26"/>
      <c r="O336" s="13" t="s">
        <v>257</v>
      </c>
      <c r="P336" s="13"/>
      <c r="Q336" s="18"/>
      <c r="R336" s="21"/>
      <c r="S336" s="22"/>
      <c r="T336" s="23"/>
      <c r="U336" s="23"/>
      <c r="V336" s="23"/>
      <c r="W336" s="23"/>
      <c r="X336" s="23"/>
      <c r="Y336" s="24"/>
      <c r="Z336" s="23"/>
      <c r="AA336" s="23"/>
      <c r="AB336" s="23"/>
      <c r="AC336" s="23"/>
    </row>
    <row r="337" ht="21.75" customHeight="1">
      <c r="A337" s="27" t="s">
        <v>1000</v>
      </c>
      <c r="B337" s="27" t="s">
        <v>1001</v>
      </c>
      <c r="C337" s="27" t="s">
        <v>1002</v>
      </c>
      <c r="D337" s="27" t="s">
        <v>35</v>
      </c>
      <c r="E337" s="27" t="s">
        <v>1003</v>
      </c>
      <c r="F337" s="28" t="s">
        <v>86</v>
      </c>
      <c r="G337" s="27" t="s">
        <v>38</v>
      </c>
      <c r="H337" s="29">
        <v>46056.0</v>
      </c>
      <c r="I337" s="36"/>
      <c r="J337" s="29"/>
      <c r="K337" s="30" t="str">
        <f t="shared" si="3"/>
        <v/>
      </c>
      <c r="L337" s="27" t="s">
        <v>40</v>
      </c>
      <c r="M337" s="41"/>
      <c r="N337" s="33"/>
      <c r="O337" s="27" t="s">
        <v>41</v>
      </c>
      <c r="P337" s="27"/>
      <c r="Q337" s="41"/>
      <c r="R337" s="35"/>
      <c r="S337" s="36"/>
      <c r="T337" s="37"/>
      <c r="U337" s="37"/>
      <c r="V337" s="37"/>
      <c r="W337" s="37"/>
      <c r="X337" s="37"/>
      <c r="Y337" s="38"/>
      <c r="Z337" s="37"/>
      <c r="AA337" s="37"/>
      <c r="AB337" s="37"/>
      <c r="AC337" s="37"/>
    </row>
    <row r="338" ht="32.25" customHeight="1">
      <c r="A338" s="13" t="s">
        <v>1004</v>
      </c>
      <c r="B338" s="13" t="s">
        <v>1005</v>
      </c>
      <c r="C338" s="13" t="s">
        <v>1002</v>
      </c>
      <c r="D338" s="13" t="s">
        <v>35</v>
      </c>
      <c r="E338" s="13" t="s">
        <v>799</v>
      </c>
      <c r="F338" s="23"/>
      <c r="G338" s="13" t="s">
        <v>49</v>
      </c>
      <c r="H338" s="15">
        <v>45835.0</v>
      </c>
      <c r="I338" s="22"/>
      <c r="J338" s="15">
        <v>46064.0</v>
      </c>
      <c r="K338" s="17">
        <f t="shared" si="3"/>
        <v>229</v>
      </c>
      <c r="L338" s="13" t="s">
        <v>40</v>
      </c>
      <c r="M338" s="18"/>
      <c r="N338" s="26"/>
      <c r="O338" s="13" t="s">
        <v>81</v>
      </c>
      <c r="P338" s="13"/>
      <c r="Q338" s="18"/>
      <c r="R338" s="21"/>
      <c r="S338" s="22"/>
      <c r="T338" s="23"/>
      <c r="U338" s="23"/>
      <c r="V338" s="23"/>
      <c r="W338" s="23"/>
      <c r="X338" s="23"/>
      <c r="Y338" s="24"/>
      <c r="Z338" s="23"/>
      <c r="AA338" s="23"/>
      <c r="AB338" s="23"/>
      <c r="AC338" s="23"/>
    </row>
    <row r="339" ht="32.25" customHeight="1">
      <c r="A339" s="27" t="s">
        <v>1006</v>
      </c>
      <c r="B339" s="27" t="s">
        <v>1007</v>
      </c>
      <c r="C339" s="31" t="s">
        <v>84</v>
      </c>
      <c r="D339" s="27" t="s">
        <v>35</v>
      </c>
      <c r="E339" s="27" t="s">
        <v>1008</v>
      </c>
      <c r="F339" s="28" t="s">
        <v>37</v>
      </c>
      <c r="G339" s="27" t="s">
        <v>38</v>
      </c>
      <c r="H339" s="29">
        <v>45964.0</v>
      </c>
      <c r="I339" s="36"/>
      <c r="J339" s="29"/>
      <c r="K339" s="30" t="str">
        <f t="shared" si="3"/>
        <v/>
      </c>
      <c r="L339" s="27" t="s">
        <v>40</v>
      </c>
      <c r="M339" s="41"/>
      <c r="N339" s="33"/>
      <c r="O339" s="27" t="s">
        <v>41</v>
      </c>
      <c r="P339" s="27"/>
      <c r="Q339" s="41"/>
      <c r="R339" s="35"/>
      <c r="S339" s="36"/>
      <c r="T339" s="37"/>
      <c r="U339" s="37"/>
      <c r="V339" s="37"/>
      <c r="W339" s="37"/>
      <c r="X339" s="37"/>
      <c r="Y339" s="38"/>
      <c r="Z339" s="37"/>
      <c r="AA339" s="37"/>
      <c r="AB339" s="37"/>
      <c r="AC339" s="37"/>
    </row>
    <row r="340" ht="32.25" customHeight="1">
      <c r="A340" s="13" t="s">
        <v>1009</v>
      </c>
      <c r="B340" s="13" t="s">
        <v>1010</v>
      </c>
      <c r="C340" s="13" t="s">
        <v>84</v>
      </c>
      <c r="D340" s="13" t="s">
        <v>35</v>
      </c>
      <c r="E340" s="13" t="s">
        <v>799</v>
      </c>
      <c r="F340" s="14" t="s">
        <v>86</v>
      </c>
      <c r="G340" s="13" t="s">
        <v>38</v>
      </c>
      <c r="H340" s="15">
        <v>46097.0</v>
      </c>
      <c r="I340" s="22"/>
      <c r="J340" s="15"/>
      <c r="K340" s="17" t="str">
        <f t="shared" si="3"/>
        <v/>
      </c>
      <c r="L340" s="13" t="s">
        <v>64</v>
      </c>
      <c r="M340" s="18"/>
      <c r="N340" s="26"/>
      <c r="O340" s="13" t="s">
        <v>257</v>
      </c>
      <c r="P340" s="13"/>
      <c r="Q340" s="18"/>
      <c r="R340" s="21"/>
      <c r="S340" s="22"/>
      <c r="T340" s="23"/>
      <c r="U340" s="23"/>
      <c r="V340" s="23"/>
      <c r="W340" s="23"/>
      <c r="X340" s="23"/>
      <c r="Y340" s="24"/>
      <c r="Z340" s="23"/>
      <c r="AA340" s="23"/>
      <c r="AB340" s="23"/>
      <c r="AC340" s="23"/>
    </row>
    <row r="341" ht="42.75" customHeight="1">
      <c r="A341" s="27" t="s">
        <v>1011</v>
      </c>
      <c r="B341" s="27" t="s">
        <v>1012</v>
      </c>
      <c r="C341" s="27" t="s">
        <v>692</v>
      </c>
      <c r="D341" s="27" t="s">
        <v>35</v>
      </c>
      <c r="E341" s="27" t="s">
        <v>1013</v>
      </c>
      <c r="F341" s="37"/>
      <c r="G341" s="27" t="s">
        <v>163</v>
      </c>
      <c r="H341" s="29">
        <v>45997.0</v>
      </c>
      <c r="I341" s="36"/>
      <c r="J341" s="29"/>
      <c r="K341" s="30" t="str">
        <f t="shared" si="3"/>
        <v/>
      </c>
      <c r="L341" s="27" t="s">
        <v>40</v>
      </c>
      <c r="M341" s="41"/>
      <c r="N341" s="33"/>
      <c r="O341" s="27"/>
      <c r="P341" s="27" t="s">
        <v>42</v>
      </c>
      <c r="Q341" s="41"/>
      <c r="R341" s="35"/>
      <c r="S341" s="36"/>
      <c r="T341" s="37"/>
      <c r="U341" s="37"/>
      <c r="V341" s="37"/>
      <c r="W341" s="37"/>
      <c r="X341" s="37"/>
      <c r="Y341" s="38"/>
      <c r="Z341" s="37"/>
      <c r="AA341" s="37"/>
      <c r="AB341" s="37"/>
      <c r="AC341" s="37"/>
    </row>
    <row r="342" ht="32.25" customHeight="1">
      <c r="A342" s="13" t="s">
        <v>1014</v>
      </c>
      <c r="B342" s="13" t="s">
        <v>1015</v>
      </c>
      <c r="C342" s="13" t="s">
        <v>692</v>
      </c>
      <c r="D342" s="13" t="s">
        <v>35</v>
      </c>
      <c r="E342" s="13"/>
      <c r="F342" s="23"/>
      <c r="G342" s="13" t="s">
        <v>163</v>
      </c>
      <c r="H342" s="15"/>
      <c r="I342" s="22"/>
      <c r="J342" s="15"/>
      <c r="K342" s="17" t="str">
        <f t="shared" si="3"/>
        <v/>
      </c>
      <c r="L342" s="13" t="s">
        <v>40</v>
      </c>
      <c r="M342" s="18"/>
      <c r="N342" s="26"/>
      <c r="O342" s="13"/>
      <c r="P342" s="13" t="s">
        <v>42</v>
      </c>
      <c r="Q342" s="18"/>
      <c r="R342" s="21"/>
      <c r="S342" s="22"/>
      <c r="T342" s="23"/>
      <c r="U342" s="23"/>
      <c r="V342" s="23"/>
      <c r="W342" s="23"/>
      <c r="X342" s="23"/>
      <c r="Y342" s="24"/>
      <c r="Z342" s="23"/>
      <c r="AA342" s="23"/>
      <c r="AB342" s="23"/>
      <c r="AC342" s="23"/>
    </row>
    <row r="343" ht="21.75" customHeight="1">
      <c r="A343" s="27" t="s">
        <v>1016</v>
      </c>
      <c r="B343" s="27" t="s">
        <v>590</v>
      </c>
      <c r="C343" s="27" t="s">
        <v>416</v>
      </c>
      <c r="D343" s="27" t="s">
        <v>409</v>
      </c>
      <c r="E343" s="27" t="s">
        <v>590</v>
      </c>
      <c r="F343" s="37"/>
      <c r="G343" s="27" t="s">
        <v>75</v>
      </c>
      <c r="H343" s="29">
        <v>46009.0</v>
      </c>
      <c r="I343" s="36"/>
      <c r="J343" s="29">
        <v>46090.0</v>
      </c>
      <c r="K343" s="30">
        <f t="shared" si="3"/>
        <v>81</v>
      </c>
      <c r="L343" s="27" t="s">
        <v>40</v>
      </c>
      <c r="M343" s="41"/>
      <c r="N343" s="33"/>
      <c r="O343" s="27" t="s">
        <v>51</v>
      </c>
      <c r="P343" s="27"/>
      <c r="Q343" s="41"/>
      <c r="R343" s="35"/>
      <c r="S343" s="36"/>
      <c r="T343" s="37"/>
      <c r="U343" s="37"/>
      <c r="V343" s="37"/>
      <c r="W343" s="37"/>
      <c r="X343" s="37"/>
      <c r="Y343" s="38"/>
      <c r="Z343" s="37"/>
      <c r="AA343" s="37"/>
      <c r="AB343" s="37"/>
      <c r="AC343" s="37"/>
    </row>
    <row r="344" ht="15.0" customHeight="1">
      <c r="A344" s="13" t="s">
        <v>1017</v>
      </c>
      <c r="B344" s="13"/>
      <c r="C344" s="13"/>
      <c r="D344" s="13"/>
      <c r="E344" s="13"/>
      <c r="F344" s="23"/>
      <c r="G344" s="13"/>
      <c r="H344" s="15"/>
      <c r="I344" s="22"/>
      <c r="J344" s="15"/>
      <c r="K344" s="17" t="str">
        <f t="shared" si="3"/>
        <v/>
      </c>
      <c r="L344" s="13"/>
      <c r="M344" s="18"/>
      <c r="N344" s="26"/>
      <c r="O344" s="13"/>
      <c r="P344" s="13"/>
      <c r="Q344" s="18"/>
      <c r="R344" s="21"/>
      <c r="S344" s="22"/>
      <c r="T344" s="23"/>
      <c r="U344" s="23"/>
      <c r="V344" s="23"/>
      <c r="W344" s="23"/>
      <c r="X344" s="23"/>
      <c r="Y344" s="24"/>
      <c r="Z344" s="23"/>
      <c r="AA344" s="23"/>
      <c r="AB344" s="23"/>
      <c r="AC344" s="23"/>
    </row>
    <row r="345" ht="32.25" customHeight="1">
      <c r="A345" s="27" t="s">
        <v>747</v>
      </c>
      <c r="B345" s="27"/>
      <c r="C345" s="27"/>
      <c r="D345" s="27"/>
      <c r="E345" s="27"/>
      <c r="F345" s="37"/>
      <c r="G345" s="27"/>
      <c r="H345" s="29"/>
      <c r="I345" s="36"/>
      <c r="J345" s="29"/>
      <c r="K345" s="30" t="str">
        <f t="shared" si="3"/>
        <v/>
      </c>
      <c r="L345" s="27"/>
      <c r="M345" s="41"/>
      <c r="N345" s="33"/>
      <c r="O345" s="27"/>
      <c r="P345" s="27"/>
      <c r="Q345" s="41"/>
      <c r="R345" s="35"/>
      <c r="S345" s="36"/>
      <c r="T345" s="37"/>
      <c r="U345" s="37"/>
      <c r="V345" s="37"/>
      <c r="W345" s="37"/>
      <c r="X345" s="37"/>
      <c r="Y345" s="38"/>
      <c r="Z345" s="37"/>
      <c r="AA345" s="37"/>
      <c r="AB345" s="37"/>
      <c r="AC345" s="37"/>
    </row>
    <row r="346" ht="32.25" customHeight="1">
      <c r="A346" s="13" t="s">
        <v>1018</v>
      </c>
      <c r="B346" s="13" t="s">
        <v>1019</v>
      </c>
      <c r="C346" s="13" t="s">
        <v>199</v>
      </c>
      <c r="D346" s="13" t="s">
        <v>35</v>
      </c>
      <c r="E346" s="13" t="s">
        <v>1020</v>
      </c>
      <c r="F346" s="23"/>
      <c r="G346" s="20" t="s">
        <v>49</v>
      </c>
      <c r="H346" s="15">
        <v>45972.0</v>
      </c>
      <c r="I346" s="22"/>
      <c r="J346" s="15">
        <v>46098.0</v>
      </c>
      <c r="K346" s="17">
        <f t="shared" si="3"/>
        <v>126</v>
      </c>
      <c r="L346" s="13" t="s">
        <v>40</v>
      </c>
      <c r="M346" s="18"/>
      <c r="N346" s="26"/>
      <c r="O346" s="13"/>
      <c r="P346" s="13" t="s">
        <v>42</v>
      </c>
      <c r="Q346" s="18"/>
      <c r="R346" s="21"/>
      <c r="S346" s="22"/>
      <c r="T346" s="23"/>
      <c r="U346" s="23"/>
      <c r="V346" s="23"/>
      <c r="W346" s="23"/>
      <c r="X346" s="23"/>
      <c r="Y346" s="24"/>
      <c r="Z346" s="23"/>
      <c r="AA346" s="23"/>
      <c r="AB346" s="23"/>
      <c r="AC346" s="23"/>
    </row>
    <row r="347" ht="32.25" customHeight="1">
      <c r="A347" s="27" t="s">
        <v>1021</v>
      </c>
      <c r="B347" s="27" t="s">
        <v>1022</v>
      </c>
      <c r="C347" s="27" t="s">
        <v>84</v>
      </c>
      <c r="D347" s="27" t="s">
        <v>35</v>
      </c>
      <c r="E347" s="27" t="s">
        <v>1023</v>
      </c>
      <c r="F347" s="28" t="s">
        <v>97</v>
      </c>
      <c r="G347" s="27" t="s">
        <v>399</v>
      </c>
      <c r="H347" s="29"/>
      <c r="I347" s="36"/>
      <c r="J347" s="29"/>
      <c r="K347" s="30" t="str">
        <f t="shared" si="3"/>
        <v/>
      </c>
      <c r="L347" s="27"/>
      <c r="M347" s="41"/>
      <c r="N347" s="33"/>
      <c r="O347" s="27"/>
      <c r="P347" s="27"/>
      <c r="Q347" s="41"/>
      <c r="R347" s="35"/>
      <c r="S347" s="36"/>
      <c r="T347" s="37"/>
      <c r="U347" s="37"/>
      <c r="V347" s="37"/>
      <c r="W347" s="37"/>
      <c r="X347" s="37"/>
      <c r="Y347" s="38"/>
      <c r="Z347" s="37"/>
      <c r="AA347" s="37"/>
      <c r="AB347" s="37"/>
      <c r="AC347" s="37"/>
    </row>
    <row r="348" ht="32.25" customHeight="1">
      <c r="A348" s="13" t="s">
        <v>1024</v>
      </c>
      <c r="B348" s="13" t="s">
        <v>1025</v>
      </c>
      <c r="C348" s="13" t="s">
        <v>692</v>
      </c>
      <c r="D348" s="13" t="s">
        <v>35</v>
      </c>
      <c r="E348" s="13" t="s">
        <v>1026</v>
      </c>
      <c r="F348" s="23"/>
      <c r="G348" s="13" t="s">
        <v>75</v>
      </c>
      <c r="H348" s="15">
        <v>46065.0</v>
      </c>
      <c r="I348" s="22"/>
      <c r="J348" s="15">
        <v>46079.0</v>
      </c>
      <c r="K348" s="17">
        <f t="shared" si="3"/>
        <v>14</v>
      </c>
      <c r="L348" s="13" t="s">
        <v>1027</v>
      </c>
      <c r="M348" s="18"/>
      <c r="N348" s="26"/>
      <c r="O348" s="13"/>
      <c r="P348" s="13"/>
      <c r="Q348" s="18"/>
      <c r="R348" s="21"/>
      <c r="S348" s="22"/>
      <c r="T348" s="23"/>
      <c r="U348" s="23"/>
      <c r="V348" s="23"/>
      <c r="W348" s="23"/>
      <c r="X348" s="23"/>
      <c r="Y348" s="24"/>
      <c r="Z348" s="23"/>
      <c r="AA348" s="23"/>
      <c r="AB348" s="23"/>
      <c r="AC348" s="23"/>
    </row>
    <row r="349" ht="21.75" customHeight="1">
      <c r="A349" s="27" t="s">
        <v>1028</v>
      </c>
      <c r="B349" s="27" t="s">
        <v>1029</v>
      </c>
      <c r="C349" s="27" t="s">
        <v>218</v>
      </c>
      <c r="D349" s="27" t="s">
        <v>409</v>
      </c>
      <c r="E349" s="27" t="s">
        <v>1030</v>
      </c>
      <c r="F349" s="37"/>
      <c r="G349" s="27" t="s">
        <v>75</v>
      </c>
      <c r="H349" s="29">
        <v>45524.0</v>
      </c>
      <c r="I349" s="36"/>
      <c r="J349" s="29">
        <v>46091.0</v>
      </c>
      <c r="K349" s="30">
        <f t="shared" si="3"/>
        <v>567</v>
      </c>
      <c r="L349" s="27" t="s">
        <v>40</v>
      </c>
      <c r="M349" s="41"/>
      <c r="N349" s="33"/>
      <c r="O349" s="27" t="s">
        <v>81</v>
      </c>
      <c r="P349" s="27"/>
      <c r="Q349" s="41"/>
      <c r="R349" s="35"/>
      <c r="S349" s="36"/>
      <c r="T349" s="37"/>
      <c r="U349" s="37"/>
      <c r="V349" s="37"/>
      <c r="W349" s="37"/>
      <c r="X349" s="37"/>
      <c r="Y349" s="38"/>
      <c r="Z349" s="37"/>
      <c r="AA349" s="37"/>
      <c r="AB349" s="37"/>
      <c r="AC349" s="37"/>
    </row>
    <row r="350" ht="21.75" customHeight="1">
      <c r="A350" s="13" t="s">
        <v>1031</v>
      </c>
      <c r="B350" s="13" t="s">
        <v>1032</v>
      </c>
      <c r="C350" s="13" t="s">
        <v>84</v>
      </c>
      <c r="D350" s="13" t="s">
        <v>35</v>
      </c>
      <c r="E350" s="13" t="s">
        <v>1023</v>
      </c>
      <c r="F350" s="14" t="s">
        <v>86</v>
      </c>
      <c r="G350" s="13" t="s">
        <v>399</v>
      </c>
      <c r="H350" s="15"/>
      <c r="I350" s="22"/>
      <c r="J350" s="15"/>
      <c r="K350" s="17" t="str">
        <f t="shared" si="3"/>
        <v/>
      </c>
      <c r="L350" s="13"/>
      <c r="M350" s="18"/>
      <c r="N350" s="26"/>
      <c r="O350" s="13"/>
      <c r="P350" s="13"/>
      <c r="Q350" s="18"/>
      <c r="R350" s="21"/>
      <c r="S350" s="22"/>
      <c r="T350" s="23"/>
      <c r="U350" s="23"/>
      <c r="V350" s="23"/>
      <c r="W350" s="23"/>
      <c r="X350" s="23"/>
      <c r="Y350" s="24"/>
      <c r="Z350" s="23"/>
      <c r="AA350" s="23"/>
      <c r="AB350" s="23"/>
      <c r="AC350" s="23"/>
    </row>
    <row r="351" ht="21.75" customHeight="1">
      <c r="A351" s="27" t="s">
        <v>1033</v>
      </c>
      <c r="B351" s="27" t="s">
        <v>1034</v>
      </c>
      <c r="C351" s="27" t="s">
        <v>84</v>
      </c>
      <c r="D351" s="27" t="s">
        <v>35</v>
      </c>
      <c r="E351" s="27" t="s">
        <v>1035</v>
      </c>
      <c r="F351" s="37"/>
      <c r="G351" s="27" t="s">
        <v>399</v>
      </c>
      <c r="H351" s="29"/>
      <c r="I351" s="36"/>
      <c r="J351" s="29"/>
      <c r="K351" s="30" t="str">
        <f t="shared" si="3"/>
        <v/>
      </c>
      <c r="L351" s="27"/>
      <c r="M351" s="41"/>
      <c r="N351" s="33"/>
      <c r="O351" s="27"/>
      <c r="P351" s="27"/>
      <c r="Q351" s="41"/>
      <c r="R351" s="35"/>
      <c r="S351" s="36"/>
      <c r="T351" s="37"/>
      <c r="U351" s="37"/>
      <c r="V351" s="37"/>
      <c r="W351" s="37"/>
      <c r="X351" s="37"/>
      <c r="Y351" s="38"/>
      <c r="Z351" s="37"/>
      <c r="AA351" s="37"/>
      <c r="AB351" s="37"/>
      <c r="AC351" s="37"/>
    </row>
    <row r="352" ht="32.25" customHeight="1">
      <c r="A352" s="13" t="s">
        <v>1036</v>
      </c>
      <c r="B352" s="13" t="s">
        <v>1037</v>
      </c>
      <c r="C352" s="13" t="s">
        <v>416</v>
      </c>
      <c r="D352" s="13" t="s">
        <v>409</v>
      </c>
      <c r="E352" s="13" t="s">
        <v>1038</v>
      </c>
      <c r="F352" s="23"/>
      <c r="G352" s="13" t="s">
        <v>49</v>
      </c>
      <c r="H352" s="15"/>
      <c r="I352" s="22"/>
      <c r="J352" s="15"/>
      <c r="K352" s="17" t="str">
        <f t="shared" si="3"/>
        <v/>
      </c>
      <c r="L352" s="13" t="s">
        <v>40</v>
      </c>
      <c r="M352" s="25" t="s">
        <v>1039</v>
      </c>
      <c r="N352" s="26"/>
      <c r="O352" s="13" t="s">
        <v>81</v>
      </c>
      <c r="P352" s="13"/>
      <c r="Q352" s="40" t="s">
        <v>1040</v>
      </c>
      <c r="R352" s="46">
        <v>1.0</v>
      </c>
      <c r="S352" s="22"/>
      <c r="T352" s="23"/>
      <c r="U352" s="23"/>
      <c r="V352" s="23"/>
      <c r="W352" s="23"/>
      <c r="X352" s="23"/>
      <c r="Y352" s="24"/>
      <c r="Z352" s="23"/>
      <c r="AA352" s="23"/>
      <c r="AB352" s="23"/>
      <c r="AC352" s="23"/>
    </row>
    <row r="353" ht="21.75" customHeight="1">
      <c r="A353" s="27" t="s">
        <v>1041</v>
      </c>
      <c r="B353" s="27" t="s">
        <v>1042</v>
      </c>
      <c r="C353" s="27" t="s">
        <v>416</v>
      </c>
      <c r="D353" s="27" t="s">
        <v>409</v>
      </c>
      <c r="E353" s="27" t="s">
        <v>1043</v>
      </c>
      <c r="F353" s="37"/>
      <c r="G353" s="27" t="s">
        <v>75</v>
      </c>
      <c r="H353" s="29">
        <v>45972.0</v>
      </c>
      <c r="I353" s="36"/>
      <c r="J353" s="29">
        <v>46041.0</v>
      </c>
      <c r="K353" s="30">
        <f t="shared" si="3"/>
        <v>69</v>
      </c>
      <c r="L353" s="27" t="s">
        <v>64</v>
      </c>
      <c r="M353" s="41"/>
      <c r="N353" s="33"/>
      <c r="O353" s="27"/>
      <c r="P353" s="27" t="s">
        <v>42</v>
      </c>
      <c r="Q353" s="41"/>
      <c r="R353" s="35"/>
      <c r="S353" s="36"/>
      <c r="T353" s="37"/>
      <c r="U353" s="37"/>
      <c r="V353" s="37"/>
      <c r="W353" s="37"/>
      <c r="X353" s="37"/>
      <c r="Y353" s="38"/>
      <c r="Z353" s="37"/>
      <c r="AA353" s="37"/>
      <c r="AB353" s="37"/>
      <c r="AC353" s="37"/>
    </row>
    <row r="354" ht="21.75" customHeight="1">
      <c r="A354" s="13" t="s">
        <v>1044</v>
      </c>
      <c r="B354" s="13" t="s">
        <v>1045</v>
      </c>
      <c r="C354" s="13" t="s">
        <v>416</v>
      </c>
      <c r="D354" s="13" t="s">
        <v>409</v>
      </c>
      <c r="E354" s="13" t="s">
        <v>1046</v>
      </c>
      <c r="F354" s="23"/>
      <c r="G354" s="13" t="s">
        <v>399</v>
      </c>
      <c r="H354" s="15"/>
      <c r="I354" s="22"/>
      <c r="J354" s="15"/>
      <c r="K354" s="17" t="str">
        <f t="shared" si="3"/>
        <v/>
      </c>
      <c r="L354" s="13" t="s">
        <v>64</v>
      </c>
      <c r="M354" s="18"/>
      <c r="N354" s="26"/>
      <c r="O354" s="13"/>
      <c r="P354" s="13"/>
      <c r="Q354" s="18"/>
      <c r="R354" s="21"/>
      <c r="S354" s="22"/>
      <c r="T354" s="23"/>
      <c r="U354" s="23"/>
      <c r="V354" s="23"/>
      <c r="W354" s="23"/>
      <c r="X354" s="23"/>
      <c r="Y354" s="24"/>
      <c r="Z354" s="23"/>
      <c r="AA354" s="23"/>
      <c r="AB354" s="23"/>
      <c r="AC354" s="23"/>
    </row>
    <row r="355" ht="63.75" customHeight="1">
      <c r="A355" s="27" t="s">
        <v>1047</v>
      </c>
      <c r="B355" s="27" t="s">
        <v>1048</v>
      </c>
      <c r="C355" s="27" t="s">
        <v>133</v>
      </c>
      <c r="D355" s="27" t="s">
        <v>35</v>
      </c>
      <c r="E355" s="27" t="s">
        <v>140</v>
      </c>
      <c r="F355" s="37"/>
      <c r="G355" s="27" t="s">
        <v>49</v>
      </c>
      <c r="H355" s="29">
        <v>45985.0</v>
      </c>
      <c r="I355" s="36"/>
      <c r="J355" s="29">
        <v>46094.0</v>
      </c>
      <c r="K355" s="30">
        <f t="shared" si="3"/>
        <v>109</v>
      </c>
      <c r="L355" s="27" t="s">
        <v>40</v>
      </c>
      <c r="M355" s="41"/>
      <c r="N355" s="33"/>
      <c r="O355" s="27" t="s">
        <v>51</v>
      </c>
      <c r="P355" s="31" t="s">
        <v>42</v>
      </c>
      <c r="Q355" s="41"/>
      <c r="R355" s="35"/>
      <c r="S355" s="36"/>
      <c r="T355" s="37"/>
      <c r="U355" s="37"/>
      <c r="V355" s="37"/>
      <c r="W355" s="37"/>
      <c r="X355" s="37"/>
      <c r="Y355" s="38"/>
      <c r="Z355" s="37"/>
      <c r="AA355" s="37"/>
      <c r="AB355" s="37"/>
      <c r="AC355" s="37"/>
    </row>
    <row r="356" ht="42.75" customHeight="1">
      <c r="A356" s="45" t="s">
        <v>1049</v>
      </c>
      <c r="B356" s="13" t="s">
        <v>1050</v>
      </c>
      <c r="C356" s="13" t="s">
        <v>133</v>
      </c>
      <c r="D356" s="13" t="s">
        <v>35</v>
      </c>
      <c r="E356" s="13" t="s">
        <v>140</v>
      </c>
      <c r="F356" s="23"/>
      <c r="G356" s="13" t="s">
        <v>49</v>
      </c>
      <c r="H356" s="15">
        <v>45897.0</v>
      </c>
      <c r="I356" s="22"/>
      <c r="J356" s="15">
        <v>46037.0</v>
      </c>
      <c r="K356" s="17">
        <f t="shared" si="3"/>
        <v>140</v>
      </c>
      <c r="L356" s="13" t="s">
        <v>40</v>
      </c>
      <c r="M356" s="18"/>
      <c r="N356" s="26"/>
      <c r="O356" s="13" t="s">
        <v>41</v>
      </c>
      <c r="P356" s="20" t="s">
        <v>42</v>
      </c>
      <c r="Q356" s="18"/>
      <c r="R356" s="21"/>
      <c r="S356" s="22"/>
      <c r="T356" s="23"/>
      <c r="U356" s="23"/>
      <c r="V356" s="23"/>
      <c r="W356" s="23"/>
      <c r="X356" s="23"/>
      <c r="Y356" s="24"/>
      <c r="Z356" s="23"/>
      <c r="AA356" s="23"/>
      <c r="AB356" s="23"/>
      <c r="AC356" s="23"/>
    </row>
    <row r="357" ht="21.75" customHeight="1">
      <c r="A357" s="27" t="s">
        <v>1051</v>
      </c>
      <c r="B357" s="27" t="s">
        <v>1052</v>
      </c>
      <c r="C357" s="27" t="s">
        <v>416</v>
      </c>
      <c r="D357" s="27" t="s">
        <v>409</v>
      </c>
      <c r="E357" s="27" t="s">
        <v>1052</v>
      </c>
      <c r="F357" s="37"/>
      <c r="G357" s="27" t="s">
        <v>399</v>
      </c>
      <c r="H357" s="29"/>
      <c r="I357" s="36"/>
      <c r="J357" s="29"/>
      <c r="K357" s="30" t="str">
        <f t="shared" si="3"/>
        <v/>
      </c>
      <c r="L357" s="27"/>
      <c r="M357" s="41"/>
      <c r="N357" s="33"/>
      <c r="O357" s="27"/>
      <c r="P357" s="27"/>
      <c r="Q357" s="41"/>
      <c r="R357" s="35"/>
      <c r="S357" s="36"/>
      <c r="T357" s="37"/>
      <c r="U357" s="37"/>
      <c r="V357" s="37"/>
      <c r="W357" s="37"/>
      <c r="X357" s="37"/>
      <c r="Y357" s="38"/>
      <c r="Z357" s="37"/>
      <c r="AA357" s="37"/>
      <c r="AB357" s="37"/>
      <c r="AC357" s="37"/>
    </row>
    <row r="358" ht="32.25" customHeight="1">
      <c r="A358" s="13" t="s">
        <v>1053</v>
      </c>
      <c r="B358" s="13" t="s">
        <v>1054</v>
      </c>
      <c r="C358" s="13" t="s">
        <v>416</v>
      </c>
      <c r="D358" s="13" t="s">
        <v>409</v>
      </c>
      <c r="E358" s="13" t="s">
        <v>1055</v>
      </c>
      <c r="F358" s="23"/>
      <c r="G358" s="13"/>
      <c r="H358" s="15"/>
      <c r="I358" s="22"/>
      <c r="J358" s="15"/>
      <c r="K358" s="17" t="str">
        <f t="shared" si="3"/>
        <v/>
      </c>
      <c r="L358" s="13"/>
      <c r="M358" s="18"/>
      <c r="N358" s="26"/>
      <c r="O358" s="13"/>
      <c r="P358" s="13"/>
      <c r="Q358" s="18"/>
      <c r="R358" s="21"/>
      <c r="S358" s="22"/>
      <c r="T358" s="23"/>
      <c r="U358" s="23"/>
      <c r="V358" s="23"/>
      <c r="W358" s="23"/>
      <c r="X358" s="23"/>
      <c r="Y358" s="24"/>
      <c r="Z358" s="23"/>
      <c r="AA358" s="23"/>
      <c r="AB358" s="23"/>
      <c r="AC358" s="23"/>
    </row>
    <row r="359" ht="32.25" customHeight="1">
      <c r="A359" s="27" t="s">
        <v>1056</v>
      </c>
      <c r="B359" s="27" t="s">
        <v>1057</v>
      </c>
      <c r="C359" s="27" t="s">
        <v>692</v>
      </c>
      <c r="D359" s="27" t="s">
        <v>35</v>
      </c>
      <c r="E359" s="27" t="s">
        <v>1058</v>
      </c>
      <c r="F359" s="37"/>
      <c r="G359" s="27" t="s">
        <v>75</v>
      </c>
      <c r="H359" s="29">
        <v>46048.0</v>
      </c>
      <c r="I359" s="36"/>
      <c r="J359" s="29"/>
      <c r="K359" s="30" t="str">
        <f t="shared" si="3"/>
        <v/>
      </c>
      <c r="L359" s="27" t="s">
        <v>1027</v>
      </c>
      <c r="M359" s="41"/>
      <c r="N359" s="33"/>
      <c r="O359" s="27"/>
      <c r="P359" s="27"/>
      <c r="Q359" s="41"/>
      <c r="R359" s="35"/>
      <c r="S359" s="36"/>
      <c r="T359" s="37"/>
      <c r="U359" s="37"/>
      <c r="V359" s="37"/>
      <c r="W359" s="37"/>
      <c r="X359" s="37"/>
      <c r="Y359" s="38"/>
      <c r="Z359" s="37"/>
      <c r="AA359" s="37"/>
      <c r="AB359" s="37"/>
      <c r="AC359" s="37"/>
    </row>
    <row r="360" ht="32.25" customHeight="1">
      <c r="A360" s="13" t="s">
        <v>1059</v>
      </c>
      <c r="B360" s="13" t="s">
        <v>1060</v>
      </c>
      <c r="C360" s="13" t="s">
        <v>416</v>
      </c>
      <c r="D360" s="13" t="s">
        <v>409</v>
      </c>
      <c r="E360" s="13" t="s">
        <v>1061</v>
      </c>
      <c r="F360" s="23"/>
      <c r="G360" s="13" t="s">
        <v>399</v>
      </c>
      <c r="H360" s="15"/>
      <c r="I360" s="22"/>
      <c r="J360" s="15"/>
      <c r="K360" s="17" t="str">
        <f t="shared" si="3"/>
        <v/>
      </c>
      <c r="L360" s="13" t="s">
        <v>40</v>
      </c>
      <c r="M360" s="18"/>
      <c r="N360" s="26"/>
      <c r="O360" s="13" t="s">
        <v>51</v>
      </c>
      <c r="P360" s="13"/>
      <c r="Q360" s="18"/>
      <c r="R360" s="21"/>
      <c r="S360" s="22"/>
      <c r="T360" s="23"/>
      <c r="U360" s="23"/>
      <c r="V360" s="23"/>
      <c r="W360" s="23"/>
      <c r="X360" s="23"/>
      <c r="Y360" s="24"/>
      <c r="Z360" s="23"/>
      <c r="AA360" s="23"/>
      <c r="AB360" s="23"/>
      <c r="AC360" s="23"/>
    </row>
    <row r="361" ht="27.0" customHeight="1">
      <c r="A361" s="27" t="s">
        <v>1062</v>
      </c>
      <c r="B361" s="27" t="s">
        <v>1063</v>
      </c>
      <c r="C361" s="27" t="s">
        <v>186</v>
      </c>
      <c r="D361" s="27" t="s">
        <v>35</v>
      </c>
      <c r="E361" s="27" t="s">
        <v>1064</v>
      </c>
      <c r="F361" s="28" t="s">
        <v>86</v>
      </c>
      <c r="G361" s="27" t="s">
        <v>163</v>
      </c>
      <c r="H361" s="29">
        <v>46035.0</v>
      </c>
      <c r="I361" s="36"/>
      <c r="J361" s="29"/>
      <c r="K361" s="30" t="str">
        <f t="shared" si="3"/>
        <v/>
      </c>
      <c r="L361" s="27" t="s">
        <v>40</v>
      </c>
      <c r="M361" s="32" t="s">
        <v>1065</v>
      </c>
      <c r="N361" s="33"/>
      <c r="O361" s="27" t="s">
        <v>51</v>
      </c>
      <c r="P361" s="31" t="s">
        <v>42</v>
      </c>
      <c r="Q361" s="41"/>
      <c r="R361" s="35"/>
      <c r="S361" s="36"/>
      <c r="T361" s="37"/>
      <c r="U361" s="37"/>
      <c r="V361" s="37"/>
      <c r="W361" s="37"/>
      <c r="X361" s="37"/>
      <c r="Y361" s="38"/>
      <c r="Z361" s="37"/>
      <c r="AA361" s="28" t="s">
        <v>502</v>
      </c>
      <c r="AB361" s="28" t="s">
        <v>42</v>
      </c>
      <c r="AC361" s="37"/>
    </row>
    <row r="362" ht="32.25" customHeight="1">
      <c r="A362" s="13" t="s">
        <v>1066</v>
      </c>
      <c r="B362" s="13" t="s">
        <v>1067</v>
      </c>
      <c r="C362" s="13" t="s">
        <v>387</v>
      </c>
      <c r="D362" s="13" t="s">
        <v>35</v>
      </c>
      <c r="E362" s="13" t="s">
        <v>1068</v>
      </c>
      <c r="F362" s="23"/>
      <c r="G362" s="13" t="s">
        <v>75</v>
      </c>
      <c r="H362" s="15">
        <v>45809.0</v>
      </c>
      <c r="I362" s="22"/>
      <c r="J362" s="15">
        <v>46091.0</v>
      </c>
      <c r="K362" s="17">
        <f t="shared" si="3"/>
        <v>282</v>
      </c>
      <c r="L362" s="13" t="s">
        <v>40</v>
      </c>
      <c r="M362" s="18"/>
      <c r="N362" s="26"/>
      <c r="O362" s="13" t="s">
        <v>51</v>
      </c>
      <c r="P362" s="13"/>
      <c r="Q362" s="18"/>
      <c r="R362" s="21"/>
      <c r="S362" s="22"/>
      <c r="T362" s="23"/>
      <c r="U362" s="23"/>
      <c r="V362" s="23"/>
      <c r="W362" s="23"/>
      <c r="X362" s="23"/>
      <c r="Y362" s="24"/>
      <c r="Z362" s="23"/>
      <c r="AA362" s="23"/>
      <c r="AB362" s="23"/>
      <c r="AC362" s="23"/>
    </row>
    <row r="363" ht="42.75" customHeight="1">
      <c r="A363" s="27" t="s">
        <v>1069</v>
      </c>
      <c r="B363" s="27" t="s">
        <v>1070</v>
      </c>
      <c r="C363" s="27" t="s">
        <v>416</v>
      </c>
      <c r="D363" s="27" t="s">
        <v>409</v>
      </c>
      <c r="E363" s="27" t="s">
        <v>1071</v>
      </c>
      <c r="F363" s="37"/>
      <c r="G363" s="27" t="s">
        <v>163</v>
      </c>
      <c r="H363" s="29"/>
      <c r="I363" s="36"/>
      <c r="J363" s="29"/>
      <c r="K363" s="30" t="str">
        <f t="shared" si="3"/>
        <v/>
      </c>
      <c r="L363" s="27"/>
      <c r="M363" s="41"/>
      <c r="N363" s="33"/>
      <c r="O363" s="27"/>
      <c r="P363" s="27"/>
      <c r="Q363" s="41"/>
      <c r="R363" s="35"/>
      <c r="S363" s="36"/>
      <c r="T363" s="37"/>
      <c r="U363" s="37"/>
      <c r="V363" s="37"/>
      <c r="W363" s="37"/>
      <c r="X363" s="37"/>
      <c r="Y363" s="38"/>
      <c r="Z363" s="37"/>
      <c r="AA363" s="37"/>
      <c r="AB363" s="37"/>
      <c r="AC363" s="37"/>
    </row>
    <row r="364" ht="21.75" customHeight="1">
      <c r="A364" s="13" t="s">
        <v>1072</v>
      </c>
      <c r="B364" s="13"/>
      <c r="C364" s="13"/>
      <c r="D364" s="13"/>
      <c r="E364" s="13"/>
      <c r="F364" s="23"/>
      <c r="G364" s="13"/>
      <c r="H364" s="15"/>
      <c r="I364" s="22"/>
      <c r="J364" s="15"/>
      <c r="K364" s="17" t="str">
        <f t="shared" si="3"/>
        <v/>
      </c>
      <c r="L364" s="13"/>
      <c r="M364" s="18"/>
      <c r="N364" s="26"/>
      <c r="O364" s="13"/>
      <c r="P364" s="13"/>
      <c r="Q364" s="18"/>
      <c r="R364" s="21"/>
      <c r="S364" s="22"/>
      <c r="T364" s="23"/>
      <c r="U364" s="23"/>
      <c r="V364" s="23"/>
      <c r="W364" s="23"/>
      <c r="X364" s="23"/>
      <c r="Y364" s="24"/>
      <c r="Z364" s="23"/>
      <c r="AA364" s="23"/>
      <c r="AB364" s="23"/>
      <c r="AC364" s="23"/>
    </row>
    <row r="365" ht="32.25" customHeight="1">
      <c r="A365" s="27" t="s">
        <v>1073</v>
      </c>
      <c r="B365" s="23" t="s">
        <v>1074</v>
      </c>
      <c r="C365" s="27" t="s">
        <v>387</v>
      </c>
      <c r="D365" s="27" t="s">
        <v>409</v>
      </c>
      <c r="E365" s="27" t="s">
        <v>1075</v>
      </c>
      <c r="F365" s="37"/>
      <c r="G365" s="27" t="s">
        <v>49</v>
      </c>
      <c r="H365" s="29">
        <v>45768.0</v>
      </c>
      <c r="I365" s="36"/>
      <c r="J365" s="29">
        <v>45946.0</v>
      </c>
      <c r="K365" s="30">
        <f t="shared" si="3"/>
        <v>178</v>
      </c>
      <c r="L365" s="27" t="s">
        <v>40</v>
      </c>
      <c r="M365" s="32" t="s">
        <v>1076</v>
      </c>
      <c r="N365" s="42">
        <v>4.7</v>
      </c>
      <c r="O365" s="27" t="s">
        <v>51</v>
      </c>
      <c r="P365" s="31" t="s">
        <v>42</v>
      </c>
      <c r="Q365" s="61" t="s">
        <v>1077</v>
      </c>
      <c r="R365" s="43">
        <v>2.0</v>
      </c>
      <c r="S365" s="36"/>
      <c r="T365" s="37"/>
      <c r="U365" s="37"/>
      <c r="V365" s="62" t="s">
        <v>1078</v>
      </c>
      <c r="W365" s="37"/>
      <c r="X365" s="37"/>
      <c r="Y365" s="38"/>
      <c r="Z365" s="37"/>
      <c r="AA365" s="37"/>
      <c r="AB365" s="37"/>
      <c r="AC365" s="37"/>
    </row>
    <row r="366" ht="32.25" customHeight="1">
      <c r="A366" s="13" t="s">
        <v>1079</v>
      </c>
      <c r="B366" s="13" t="s">
        <v>1080</v>
      </c>
      <c r="C366" s="13" t="s">
        <v>416</v>
      </c>
      <c r="D366" s="13" t="s">
        <v>409</v>
      </c>
      <c r="E366" s="13" t="s">
        <v>493</v>
      </c>
      <c r="F366" s="23"/>
      <c r="G366" s="13" t="s">
        <v>49</v>
      </c>
      <c r="H366" s="15">
        <v>45357.0</v>
      </c>
      <c r="I366" s="22"/>
      <c r="J366" s="15">
        <v>45981.0</v>
      </c>
      <c r="K366" s="17">
        <f t="shared" si="3"/>
        <v>624</v>
      </c>
      <c r="L366" s="13" t="s">
        <v>40</v>
      </c>
      <c r="M366" s="18"/>
      <c r="N366" s="26"/>
      <c r="O366" s="13" t="s">
        <v>41</v>
      </c>
      <c r="P366" s="13"/>
      <c r="Q366" s="18"/>
      <c r="R366" s="21"/>
      <c r="S366" s="22"/>
      <c r="T366" s="23"/>
      <c r="U366" s="23"/>
      <c r="V366" s="23"/>
      <c r="W366" s="23"/>
      <c r="X366" s="23"/>
      <c r="Y366" s="24"/>
      <c r="Z366" s="23"/>
      <c r="AA366" s="23"/>
      <c r="AB366" s="23"/>
      <c r="AC366" s="23"/>
    </row>
    <row r="367" ht="21.75" customHeight="1">
      <c r="A367" s="27" t="s">
        <v>1081</v>
      </c>
      <c r="B367" s="27" t="s">
        <v>436</v>
      </c>
      <c r="C367" s="27" t="s">
        <v>416</v>
      </c>
      <c r="D367" s="27" t="s">
        <v>409</v>
      </c>
      <c r="E367" s="27" t="s">
        <v>437</v>
      </c>
      <c r="F367" s="37"/>
      <c r="G367" s="27" t="s">
        <v>91</v>
      </c>
      <c r="H367" s="29">
        <v>45966.0</v>
      </c>
      <c r="I367" s="36"/>
      <c r="J367" s="29"/>
      <c r="K367" s="17" t="str">
        <f t="shared" si="3"/>
        <v/>
      </c>
      <c r="L367" s="27" t="s">
        <v>56</v>
      </c>
      <c r="M367" s="41"/>
      <c r="N367" s="33"/>
      <c r="O367" s="27" t="s">
        <v>257</v>
      </c>
      <c r="P367" s="27"/>
      <c r="Q367" s="41"/>
      <c r="R367" s="35"/>
      <c r="S367" s="36"/>
      <c r="T367" s="37"/>
      <c r="U367" s="37"/>
      <c r="V367" s="37"/>
      <c r="W367" s="37"/>
      <c r="X367" s="37"/>
      <c r="Y367" s="38"/>
      <c r="Z367" s="37"/>
      <c r="AA367" s="37"/>
      <c r="AB367" s="37"/>
      <c r="AC367" s="37"/>
    </row>
    <row r="368" ht="32.25" customHeight="1">
      <c r="A368" s="13" t="s">
        <v>1082</v>
      </c>
      <c r="B368" s="13" t="s">
        <v>1083</v>
      </c>
      <c r="C368" s="13" t="s">
        <v>34</v>
      </c>
      <c r="D368" s="13" t="s">
        <v>35</v>
      </c>
      <c r="E368" s="20" t="s">
        <v>96</v>
      </c>
      <c r="F368" s="14" t="s">
        <v>97</v>
      </c>
      <c r="G368" s="13" t="s">
        <v>38</v>
      </c>
      <c r="H368" s="15">
        <v>45945.0</v>
      </c>
      <c r="I368" s="22"/>
      <c r="J368" s="16">
        <v>46127.0</v>
      </c>
      <c r="K368" s="17">
        <f t="shared" si="3"/>
        <v>182</v>
      </c>
      <c r="L368" s="13" t="s">
        <v>450</v>
      </c>
      <c r="M368" s="25" t="s">
        <v>1084</v>
      </c>
      <c r="N368" s="19">
        <v>1.7</v>
      </c>
      <c r="O368" s="13" t="s">
        <v>81</v>
      </c>
      <c r="P368" s="13" t="s">
        <v>42</v>
      </c>
      <c r="Q368" s="18"/>
      <c r="R368" s="21"/>
      <c r="S368" s="22"/>
      <c r="T368" s="23" t="s">
        <v>1084</v>
      </c>
      <c r="U368" s="14">
        <v>1.0</v>
      </c>
      <c r="V368" s="14" t="s">
        <v>1085</v>
      </c>
      <c r="W368" s="14" t="s">
        <v>1086</v>
      </c>
      <c r="X368" s="14" t="s">
        <v>103</v>
      </c>
      <c r="Y368" s="57">
        <v>17.5</v>
      </c>
      <c r="Z368" s="23"/>
      <c r="AA368" s="14" t="s">
        <v>45</v>
      </c>
      <c r="AB368" s="23"/>
      <c r="AC368" s="23"/>
    </row>
    <row r="369" ht="42.75" customHeight="1">
      <c r="A369" s="27" t="s">
        <v>1087</v>
      </c>
      <c r="B369" s="27" t="s">
        <v>1088</v>
      </c>
      <c r="C369" s="31" t="s">
        <v>387</v>
      </c>
      <c r="D369" s="27" t="s">
        <v>35</v>
      </c>
      <c r="E369" s="27"/>
      <c r="F369" s="37"/>
      <c r="G369" s="27" t="s">
        <v>38</v>
      </c>
      <c r="H369" s="29">
        <v>46084.0</v>
      </c>
      <c r="I369" s="36"/>
      <c r="J369" s="29"/>
      <c r="K369" s="30" t="str">
        <f t="shared" si="3"/>
        <v/>
      </c>
      <c r="L369" s="27" t="s">
        <v>40</v>
      </c>
      <c r="M369" s="41"/>
      <c r="N369" s="33"/>
      <c r="O369" s="27" t="s">
        <v>51</v>
      </c>
      <c r="P369" s="27"/>
      <c r="Q369" s="41"/>
      <c r="R369" s="35"/>
      <c r="S369" s="36"/>
      <c r="T369" s="37"/>
      <c r="U369" s="37"/>
      <c r="V369" s="37"/>
      <c r="W369" s="37"/>
      <c r="X369" s="37"/>
      <c r="Y369" s="38"/>
      <c r="Z369" s="37"/>
      <c r="AA369" s="37"/>
      <c r="AB369" s="37"/>
      <c r="AC369" s="37"/>
    </row>
    <row r="370" ht="53.25" customHeight="1">
      <c r="A370" s="13" t="s">
        <v>1089</v>
      </c>
      <c r="B370" s="13" t="s">
        <v>1090</v>
      </c>
      <c r="C370" s="13" t="s">
        <v>34</v>
      </c>
      <c r="D370" s="13" t="s">
        <v>35</v>
      </c>
      <c r="E370" s="20" t="s">
        <v>96</v>
      </c>
      <c r="F370" s="14" t="s">
        <v>97</v>
      </c>
      <c r="G370" s="13" t="s">
        <v>38</v>
      </c>
      <c r="H370" s="15">
        <v>46073.0</v>
      </c>
      <c r="I370" s="22"/>
      <c r="J370" s="16">
        <v>46127.0</v>
      </c>
      <c r="K370" s="63">
        <f t="shared" si="3"/>
        <v>54</v>
      </c>
      <c r="L370" s="13" t="s">
        <v>40</v>
      </c>
      <c r="M370" s="25" t="s">
        <v>1091</v>
      </c>
      <c r="N370" s="19">
        <v>2.0</v>
      </c>
      <c r="O370" s="13" t="s">
        <v>81</v>
      </c>
      <c r="P370" s="13" t="s">
        <v>42</v>
      </c>
      <c r="Q370" s="18"/>
      <c r="R370" s="21"/>
      <c r="S370" s="22"/>
      <c r="T370" s="23" t="s">
        <v>1091</v>
      </c>
      <c r="U370" s="14">
        <v>1.0</v>
      </c>
      <c r="V370" s="14" t="s">
        <v>1092</v>
      </c>
      <c r="W370" s="14" t="s">
        <v>1086</v>
      </c>
      <c r="X370" s="14" t="s">
        <v>103</v>
      </c>
      <c r="Y370" s="57">
        <v>17.5</v>
      </c>
      <c r="Z370" s="23"/>
      <c r="AA370" s="14" t="s">
        <v>461</v>
      </c>
      <c r="AB370" s="23"/>
      <c r="AC370" s="23"/>
    </row>
    <row r="371" ht="32.25" customHeight="1">
      <c r="A371" s="27" t="s">
        <v>1093</v>
      </c>
      <c r="B371" s="27" t="s">
        <v>1094</v>
      </c>
      <c r="C371" s="27"/>
      <c r="D371" s="27" t="s">
        <v>409</v>
      </c>
      <c r="E371" s="27" t="s">
        <v>1095</v>
      </c>
      <c r="F371" s="28" t="s">
        <v>37</v>
      </c>
      <c r="G371" s="27" t="s">
        <v>75</v>
      </c>
      <c r="H371" s="29">
        <v>46002.0</v>
      </c>
      <c r="I371" s="36"/>
      <c r="J371" s="29">
        <v>46234.0</v>
      </c>
      <c r="K371" s="30">
        <f t="shared" si="3"/>
        <v>232</v>
      </c>
      <c r="L371" s="27" t="s">
        <v>64</v>
      </c>
      <c r="M371" s="41"/>
      <c r="N371" s="33"/>
      <c r="O371" s="27" t="s">
        <v>257</v>
      </c>
      <c r="P371" s="27"/>
      <c r="Q371" s="41"/>
      <c r="R371" s="35"/>
      <c r="S371" s="36"/>
      <c r="T371" s="37"/>
      <c r="U371" s="37"/>
      <c r="V371" s="64" t="s">
        <v>1096</v>
      </c>
      <c r="W371" s="37"/>
      <c r="X371" s="37"/>
      <c r="Y371" s="38"/>
      <c r="Z371" s="37"/>
      <c r="AA371" s="28" t="s">
        <v>461</v>
      </c>
      <c r="AB371" s="37"/>
      <c r="AC371" s="37"/>
    </row>
    <row r="372" ht="32.25" customHeight="1">
      <c r="A372" s="13" t="s">
        <v>1097</v>
      </c>
      <c r="B372" s="13" t="s">
        <v>1098</v>
      </c>
      <c r="C372" s="13" t="s">
        <v>34</v>
      </c>
      <c r="D372" s="13" t="s">
        <v>35</v>
      </c>
      <c r="E372" s="20" t="s">
        <v>1099</v>
      </c>
      <c r="F372" s="14" t="s">
        <v>37</v>
      </c>
      <c r="G372" s="13" t="s">
        <v>38</v>
      </c>
      <c r="H372" s="15">
        <v>46043.0</v>
      </c>
      <c r="I372" s="22"/>
      <c r="J372" s="16">
        <v>46157.0</v>
      </c>
      <c r="K372" s="17">
        <f t="shared" si="3"/>
        <v>114</v>
      </c>
      <c r="L372" s="13" t="s">
        <v>40</v>
      </c>
      <c r="M372" s="25" t="s">
        <v>98</v>
      </c>
      <c r="N372" s="19">
        <v>0.6</v>
      </c>
      <c r="O372" s="13" t="s">
        <v>58</v>
      </c>
      <c r="P372" s="13" t="s">
        <v>42</v>
      </c>
      <c r="Q372" s="18"/>
      <c r="R372" s="21"/>
      <c r="S372" s="22"/>
      <c r="T372" s="23" t="s">
        <v>98</v>
      </c>
      <c r="U372" s="14">
        <v>1.0</v>
      </c>
      <c r="V372" s="14" t="s">
        <v>1100</v>
      </c>
      <c r="W372" s="23"/>
      <c r="X372" s="14" t="s">
        <v>45</v>
      </c>
      <c r="Y372" s="24"/>
      <c r="Z372" s="23"/>
      <c r="AA372" s="14" t="s">
        <v>104</v>
      </c>
      <c r="AB372" s="23"/>
      <c r="AC372" s="23"/>
    </row>
    <row r="373" ht="21.75" customHeight="1">
      <c r="A373" s="27" t="s">
        <v>1101</v>
      </c>
      <c r="B373" s="27" t="s">
        <v>1102</v>
      </c>
      <c r="C373" s="27"/>
      <c r="D373" s="27" t="s">
        <v>409</v>
      </c>
      <c r="E373" s="27" t="s">
        <v>1103</v>
      </c>
      <c r="F373" s="28" t="s">
        <v>37</v>
      </c>
      <c r="G373" s="27" t="s">
        <v>75</v>
      </c>
      <c r="H373" s="29"/>
      <c r="I373" s="36"/>
      <c r="J373" s="29">
        <v>46387.0</v>
      </c>
      <c r="K373" s="30" t="str">
        <f t="shared" si="3"/>
        <v/>
      </c>
      <c r="L373" s="27" t="s">
        <v>64</v>
      </c>
      <c r="M373" s="41"/>
      <c r="N373" s="33"/>
      <c r="O373" s="27" t="s">
        <v>257</v>
      </c>
      <c r="P373" s="27"/>
      <c r="Q373" s="41"/>
      <c r="R373" s="35"/>
      <c r="S373" s="36"/>
      <c r="T373" s="37"/>
      <c r="U373" s="37"/>
      <c r="V373" s="64" t="s">
        <v>1104</v>
      </c>
      <c r="W373" s="37"/>
      <c r="X373" s="37"/>
      <c r="Y373" s="38"/>
      <c r="Z373" s="37"/>
      <c r="AA373" s="28" t="s">
        <v>461</v>
      </c>
      <c r="AB373" s="37"/>
      <c r="AC373" s="37"/>
    </row>
    <row r="374" ht="21.75" customHeight="1">
      <c r="A374" s="13" t="s">
        <v>1105</v>
      </c>
      <c r="B374" s="13" t="s">
        <v>1106</v>
      </c>
      <c r="C374" s="13"/>
      <c r="D374" s="13" t="s">
        <v>409</v>
      </c>
      <c r="E374" s="13" t="s">
        <v>1103</v>
      </c>
      <c r="F374" s="14" t="s">
        <v>37</v>
      </c>
      <c r="G374" s="13" t="s">
        <v>75</v>
      </c>
      <c r="H374" s="15"/>
      <c r="I374" s="22"/>
      <c r="J374" s="15">
        <v>46387.0</v>
      </c>
      <c r="K374" s="17" t="str">
        <f t="shared" si="3"/>
        <v/>
      </c>
      <c r="L374" s="13" t="s">
        <v>64</v>
      </c>
      <c r="M374" s="18"/>
      <c r="N374" s="26"/>
      <c r="O374" s="13" t="s">
        <v>257</v>
      </c>
      <c r="P374" s="13"/>
      <c r="Q374" s="18"/>
      <c r="R374" s="21"/>
      <c r="S374" s="22"/>
      <c r="T374" s="23"/>
      <c r="U374" s="23"/>
      <c r="V374" s="64" t="s">
        <v>1107</v>
      </c>
      <c r="W374" s="23"/>
      <c r="X374" s="23"/>
      <c r="Y374" s="24"/>
      <c r="Z374" s="23"/>
      <c r="AA374" s="14" t="s">
        <v>461</v>
      </c>
      <c r="AB374" s="23"/>
      <c r="AC374" s="23"/>
    </row>
    <row r="375" ht="32.25" customHeight="1">
      <c r="A375" s="27" t="s">
        <v>1108</v>
      </c>
      <c r="B375" s="27" t="s">
        <v>1109</v>
      </c>
      <c r="C375" s="27" t="s">
        <v>199</v>
      </c>
      <c r="D375" s="27" t="s">
        <v>35</v>
      </c>
      <c r="E375" s="27" t="s">
        <v>1110</v>
      </c>
      <c r="F375" s="28" t="s">
        <v>86</v>
      </c>
      <c r="G375" s="27" t="s">
        <v>49</v>
      </c>
      <c r="H375" s="29">
        <v>45892.0</v>
      </c>
      <c r="I375" s="36"/>
      <c r="J375" s="29">
        <v>46052.0</v>
      </c>
      <c r="K375" s="30">
        <f t="shared" si="3"/>
        <v>160</v>
      </c>
      <c r="L375" s="27" t="s">
        <v>56</v>
      </c>
      <c r="M375" s="32" t="s">
        <v>1111</v>
      </c>
      <c r="N375" s="33"/>
      <c r="O375" s="31" t="s">
        <v>58</v>
      </c>
      <c r="P375" s="27"/>
      <c r="Q375" s="65" t="s">
        <v>1112</v>
      </c>
      <c r="R375" s="35"/>
      <c r="S375" s="36"/>
      <c r="T375" s="37"/>
      <c r="U375" s="37"/>
      <c r="V375" s="28" t="s">
        <v>1113</v>
      </c>
      <c r="W375" s="37"/>
      <c r="X375" s="37"/>
      <c r="Y375" s="38"/>
      <c r="Z375" s="37"/>
      <c r="AA375" s="37"/>
      <c r="AB375" s="37"/>
      <c r="AC375" s="37"/>
    </row>
    <row r="376" ht="21.75" customHeight="1">
      <c r="A376" s="13" t="s">
        <v>1114</v>
      </c>
      <c r="B376" s="20" t="s">
        <v>1115</v>
      </c>
      <c r="C376" s="13"/>
      <c r="D376" s="13" t="s">
        <v>35</v>
      </c>
      <c r="E376" s="13" t="s">
        <v>1116</v>
      </c>
      <c r="F376" s="14" t="s">
        <v>37</v>
      </c>
      <c r="G376" s="13" t="s">
        <v>49</v>
      </c>
      <c r="H376" s="15">
        <v>45955.0</v>
      </c>
      <c r="I376" s="22"/>
      <c r="J376" s="15">
        <v>46032.0</v>
      </c>
      <c r="K376" s="17">
        <f t="shared" si="3"/>
        <v>77</v>
      </c>
      <c r="L376" s="13" t="s">
        <v>56</v>
      </c>
      <c r="M376" s="18"/>
      <c r="N376" s="26"/>
      <c r="O376" s="13" t="s">
        <v>257</v>
      </c>
      <c r="P376" s="13"/>
      <c r="Q376" s="18"/>
      <c r="R376" s="21"/>
      <c r="S376" s="22"/>
      <c r="T376" s="23"/>
      <c r="U376" s="23"/>
      <c r="V376" s="23"/>
      <c r="W376" s="23"/>
      <c r="X376" s="23"/>
      <c r="Y376" s="24"/>
      <c r="Z376" s="23"/>
      <c r="AA376" s="23"/>
      <c r="AB376" s="23"/>
      <c r="AC376" s="23"/>
    </row>
    <row r="377" ht="21.75" customHeight="1">
      <c r="A377" s="27" t="s">
        <v>1117</v>
      </c>
      <c r="B377" s="31" t="s">
        <v>1118</v>
      </c>
      <c r="C377" s="27" t="s">
        <v>199</v>
      </c>
      <c r="D377" s="27" t="s">
        <v>35</v>
      </c>
      <c r="E377" s="27" t="s">
        <v>1110</v>
      </c>
      <c r="F377" s="28" t="s">
        <v>86</v>
      </c>
      <c r="G377" s="27" t="s">
        <v>75</v>
      </c>
      <c r="H377" s="29"/>
      <c r="I377" s="36"/>
      <c r="J377" s="29">
        <v>46070.0</v>
      </c>
      <c r="K377" s="30" t="str">
        <f t="shared" si="3"/>
        <v/>
      </c>
      <c r="L377" s="27" t="s">
        <v>64</v>
      </c>
      <c r="M377" s="32" t="s">
        <v>1119</v>
      </c>
      <c r="N377" s="33"/>
      <c r="O377" s="31" t="s">
        <v>58</v>
      </c>
      <c r="P377" s="27"/>
      <c r="Q377" s="32" t="s">
        <v>1120</v>
      </c>
      <c r="R377" s="35"/>
      <c r="S377" s="36"/>
      <c r="T377" s="37"/>
      <c r="U377" s="37"/>
      <c r="V377" s="28" t="s">
        <v>1121</v>
      </c>
      <c r="W377" s="37"/>
      <c r="X377" s="37"/>
      <c r="Y377" s="38"/>
      <c r="Z377" s="37"/>
      <c r="AA377" s="37"/>
      <c r="AB377" s="37"/>
      <c r="AC377" s="37"/>
    </row>
    <row r="378" ht="137.25" customHeight="1">
      <c r="A378" s="13" t="s">
        <v>1047</v>
      </c>
      <c r="B378" s="13" t="s">
        <v>1122</v>
      </c>
      <c r="C378" s="13"/>
      <c r="D378" s="13" t="s">
        <v>35</v>
      </c>
      <c r="E378" s="13" t="s">
        <v>1123</v>
      </c>
      <c r="F378" s="23"/>
      <c r="G378" s="13" t="s">
        <v>75</v>
      </c>
      <c r="H378" s="15">
        <v>46077.0</v>
      </c>
      <c r="I378" s="22"/>
      <c r="J378" s="15">
        <v>46089.0</v>
      </c>
      <c r="K378" s="17">
        <f t="shared" si="3"/>
        <v>12</v>
      </c>
      <c r="L378" s="13" t="s">
        <v>40</v>
      </c>
      <c r="M378" s="18"/>
      <c r="N378" s="26"/>
      <c r="O378" s="13" t="s">
        <v>257</v>
      </c>
      <c r="P378" s="13"/>
      <c r="Q378" s="18"/>
      <c r="R378" s="21"/>
      <c r="S378" s="22"/>
      <c r="T378" s="23"/>
      <c r="U378" s="23"/>
      <c r="V378" s="23"/>
      <c r="W378" s="23"/>
      <c r="X378" s="23"/>
      <c r="Y378" s="24"/>
      <c r="Z378" s="23"/>
      <c r="AA378" s="23"/>
      <c r="AB378" s="23"/>
      <c r="AC378" s="23"/>
    </row>
    <row r="379" ht="32.25" customHeight="1">
      <c r="A379" s="27" t="s">
        <v>1124</v>
      </c>
      <c r="B379" s="27" t="s">
        <v>1125</v>
      </c>
      <c r="C379" s="27" t="s">
        <v>34</v>
      </c>
      <c r="D379" s="27" t="s">
        <v>35</v>
      </c>
      <c r="E379" s="31" t="s">
        <v>96</v>
      </c>
      <c r="F379" s="28" t="s">
        <v>97</v>
      </c>
      <c r="G379" s="27" t="s">
        <v>38</v>
      </c>
      <c r="H379" s="29">
        <v>46074.0</v>
      </c>
      <c r="I379" s="36"/>
      <c r="J379" s="16">
        <v>46162.0</v>
      </c>
      <c r="K379" s="30">
        <f t="shared" si="3"/>
        <v>88</v>
      </c>
      <c r="L379" s="27" t="s">
        <v>40</v>
      </c>
      <c r="M379" s="32" t="s">
        <v>1126</v>
      </c>
      <c r="N379" s="42">
        <v>1.8</v>
      </c>
      <c r="O379" s="27" t="s">
        <v>41</v>
      </c>
      <c r="P379" s="27" t="s">
        <v>42</v>
      </c>
      <c r="Q379" s="41"/>
      <c r="R379" s="35"/>
      <c r="S379" s="28" t="s">
        <v>100</v>
      </c>
      <c r="T379" s="28"/>
      <c r="U379" s="28">
        <v>1.0</v>
      </c>
      <c r="V379" s="28" t="s">
        <v>1127</v>
      </c>
      <c r="W379" s="28"/>
      <c r="X379" s="28" t="s">
        <v>45</v>
      </c>
      <c r="Y379" s="44"/>
      <c r="Z379" s="37"/>
      <c r="AA379" s="28" t="s">
        <v>104</v>
      </c>
      <c r="AB379" s="28" t="s">
        <v>59</v>
      </c>
      <c r="AC379" s="37"/>
    </row>
    <row r="380" ht="42.75" customHeight="1">
      <c r="A380" s="13" t="s">
        <v>1128</v>
      </c>
      <c r="B380" s="13" t="s">
        <v>1129</v>
      </c>
      <c r="C380" s="13" t="s">
        <v>34</v>
      </c>
      <c r="D380" s="13" t="s">
        <v>35</v>
      </c>
      <c r="E380" s="13" t="s">
        <v>96</v>
      </c>
      <c r="F380" s="14" t="s">
        <v>97</v>
      </c>
      <c r="G380" s="20" t="s">
        <v>91</v>
      </c>
      <c r="H380" s="15">
        <v>46091.0</v>
      </c>
      <c r="I380" s="22"/>
      <c r="J380" s="15">
        <v>46203.0</v>
      </c>
      <c r="K380" s="17">
        <f t="shared" si="3"/>
        <v>112</v>
      </c>
      <c r="L380" s="13" t="s">
        <v>40</v>
      </c>
      <c r="M380" s="25" t="s">
        <v>1130</v>
      </c>
      <c r="N380" s="42">
        <v>2.2</v>
      </c>
      <c r="O380" s="20" t="s">
        <v>81</v>
      </c>
      <c r="P380" s="13" t="s">
        <v>42</v>
      </c>
      <c r="Q380" s="18"/>
      <c r="R380" s="21"/>
      <c r="S380" s="28" t="s">
        <v>100</v>
      </c>
      <c r="T380" s="28"/>
      <c r="U380" s="28">
        <v>1.0</v>
      </c>
      <c r="V380" s="28" t="s">
        <v>1131</v>
      </c>
      <c r="W380" s="28" t="s">
        <v>102</v>
      </c>
      <c r="X380" s="28" t="s">
        <v>103</v>
      </c>
      <c r="Y380" s="44">
        <v>17.5</v>
      </c>
      <c r="Z380" s="37"/>
      <c r="AA380" s="28" t="s">
        <v>104</v>
      </c>
      <c r="AB380" s="28" t="s">
        <v>59</v>
      </c>
      <c r="AC380" s="37"/>
    </row>
    <row r="381" ht="21.75" customHeight="1">
      <c r="A381" s="27" t="s">
        <v>1132</v>
      </c>
      <c r="B381" s="27" t="s">
        <v>1133</v>
      </c>
      <c r="C381" s="27" t="s">
        <v>34</v>
      </c>
      <c r="D381" s="27" t="s">
        <v>35</v>
      </c>
      <c r="E381" s="27" t="s">
        <v>96</v>
      </c>
      <c r="F381" s="28" t="s">
        <v>97</v>
      </c>
      <c r="G381" s="27" t="s">
        <v>91</v>
      </c>
      <c r="H381" s="29">
        <v>46099.0</v>
      </c>
      <c r="I381" s="36"/>
      <c r="J381" s="15">
        <v>46203.0</v>
      </c>
      <c r="K381" s="30">
        <f t="shared" si="3"/>
        <v>104</v>
      </c>
      <c r="L381" s="27" t="s">
        <v>40</v>
      </c>
      <c r="M381" s="32" t="s">
        <v>1134</v>
      </c>
      <c r="N381" s="42">
        <v>4.9</v>
      </c>
      <c r="O381" s="31" t="s">
        <v>51</v>
      </c>
      <c r="P381" s="27" t="s">
        <v>42</v>
      </c>
      <c r="Q381" s="41"/>
      <c r="R381" s="35"/>
      <c r="S381" s="28" t="s">
        <v>100</v>
      </c>
      <c r="T381" s="28"/>
      <c r="U381" s="28">
        <v>1.0</v>
      </c>
      <c r="V381" s="28" t="s">
        <v>1135</v>
      </c>
      <c r="W381" s="28" t="s">
        <v>102</v>
      </c>
      <c r="X381" s="28" t="s">
        <v>103</v>
      </c>
      <c r="Y381" s="44">
        <v>17.5</v>
      </c>
      <c r="Z381" s="37"/>
      <c r="AA381" s="28" t="s">
        <v>104</v>
      </c>
      <c r="AB381" s="28" t="s">
        <v>59</v>
      </c>
      <c r="AC381" s="37"/>
    </row>
    <row r="382" ht="42.75" customHeight="1">
      <c r="A382" s="13" t="s">
        <v>1136</v>
      </c>
      <c r="B382" s="13" t="s">
        <v>1137</v>
      </c>
      <c r="C382" s="13" t="s">
        <v>84</v>
      </c>
      <c r="D382" s="13" t="s">
        <v>35</v>
      </c>
      <c r="E382" s="13" t="s">
        <v>123</v>
      </c>
      <c r="F382" s="14" t="s">
        <v>86</v>
      </c>
      <c r="G382" s="13" t="s">
        <v>91</v>
      </c>
      <c r="H382" s="15">
        <v>46054.0</v>
      </c>
      <c r="I382" s="22"/>
      <c r="J382" s="15">
        <v>46203.0</v>
      </c>
      <c r="K382" s="17">
        <f t="shared" si="3"/>
        <v>149</v>
      </c>
      <c r="L382" s="13" t="s">
        <v>40</v>
      </c>
      <c r="M382" s="25" t="s">
        <v>1138</v>
      </c>
      <c r="N382" s="19">
        <v>2.5</v>
      </c>
      <c r="O382" s="13" t="s">
        <v>81</v>
      </c>
      <c r="P382" s="13"/>
      <c r="Q382" s="18"/>
      <c r="R382" s="21"/>
      <c r="S382" s="22"/>
      <c r="T382" s="23"/>
      <c r="U382" s="23"/>
      <c r="V382" s="14" t="s">
        <v>1139</v>
      </c>
      <c r="W382" s="14" t="s">
        <v>1140</v>
      </c>
      <c r="X382" s="14" t="s">
        <v>677</v>
      </c>
      <c r="Y382" s="57" t="s">
        <v>1141</v>
      </c>
      <c r="Z382" s="14" t="s">
        <v>1142</v>
      </c>
      <c r="AA382" s="14" t="s">
        <v>286</v>
      </c>
      <c r="AB382" s="14" t="s">
        <v>59</v>
      </c>
      <c r="AC382" s="23"/>
    </row>
    <row r="383" ht="32.25" customHeight="1">
      <c r="A383" s="27" t="s">
        <v>1143</v>
      </c>
      <c r="B383" s="27" t="s">
        <v>1144</v>
      </c>
      <c r="C383" s="27" t="s">
        <v>34</v>
      </c>
      <c r="D383" s="27" t="s">
        <v>35</v>
      </c>
      <c r="E383" s="27" t="s">
        <v>96</v>
      </c>
      <c r="F383" s="28" t="s">
        <v>97</v>
      </c>
      <c r="G383" s="31" t="s">
        <v>91</v>
      </c>
      <c r="H383" s="29">
        <v>46091.0</v>
      </c>
      <c r="I383" s="36"/>
      <c r="J383" s="15">
        <v>46203.0</v>
      </c>
      <c r="K383" s="30">
        <f t="shared" si="3"/>
        <v>112</v>
      </c>
      <c r="L383" s="27" t="s">
        <v>40</v>
      </c>
      <c r="M383" s="25" t="s">
        <v>1130</v>
      </c>
      <c r="N383" s="42">
        <v>2.2</v>
      </c>
      <c r="O383" s="27" t="s">
        <v>81</v>
      </c>
      <c r="P383" s="27" t="s">
        <v>42</v>
      </c>
      <c r="Q383" s="41"/>
      <c r="R383" s="35"/>
      <c r="S383" s="66" t="s">
        <v>100</v>
      </c>
      <c r="T383" s="67"/>
      <c r="U383" s="68">
        <v>1.0</v>
      </c>
      <c r="V383" s="28" t="s">
        <v>1131</v>
      </c>
      <c r="W383" s="68" t="s">
        <v>102</v>
      </c>
      <c r="X383" s="68" t="s">
        <v>103</v>
      </c>
      <c r="Y383" s="69">
        <v>17.5</v>
      </c>
      <c r="Z383" s="67"/>
      <c r="AA383" s="68" t="s">
        <v>104</v>
      </c>
      <c r="AB383" s="68" t="s">
        <v>59</v>
      </c>
      <c r="AC383" s="37"/>
    </row>
    <row r="384" ht="42.75" customHeight="1">
      <c r="A384" s="13" t="s">
        <v>1145</v>
      </c>
      <c r="B384" s="20" t="s">
        <v>1146</v>
      </c>
      <c r="C384" s="13" t="s">
        <v>387</v>
      </c>
      <c r="D384" s="13" t="s">
        <v>35</v>
      </c>
      <c r="E384" s="13" t="s">
        <v>1147</v>
      </c>
      <c r="F384" s="14" t="s">
        <v>37</v>
      </c>
      <c r="G384" s="13" t="s">
        <v>49</v>
      </c>
      <c r="H384" s="15"/>
      <c r="I384" s="22"/>
      <c r="J384" s="15">
        <v>46030.0</v>
      </c>
      <c r="K384" s="17" t="str">
        <f t="shared" si="3"/>
        <v/>
      </c>
      <c r="L384" s="13" t="s">
        <v>40</v>
      </c>
      <c r="M384" s="25" t="s">
        <v>1148</v>
      </c>
      <c r="N384" s="19">
        <v>2.8</v>
      </c>
      <c r="O384" s="13" t="s">
        <v>81</v>
      </c>
      <c r="P384" s="13" t="s">
        <v>42</v>
      </c>
      <c r="Q384" s="40" t="s">
        <v>1149</v>
      </c>
      <c r="R384" s="46">
        <v>1.0</v>
      </c>
      <c r="S384" s="70" t="s">
        <v>100</v>
      </c>
      <c r="T384" s="23"/>
      <c r="U384" s="23"/>
      <c r="V384" s="23"/>
      <c r="W384" s="23"/>
      <c r="X384" s="23"/>
      <c r="Y384" s="24"/>
      <c r="Z384" s="23"/>
      <c r="AA384" s="23"/>
      <c r="AB384" s="23"/>
      <c r="AC384" s="23"/>
    </row>
    <row r="385" ht="32.25" customHeight="1">
      <c r="A385" s="27" t="s">
        <v>1150</v>
      </c>
      <c r="B385" s="31" t="s">
        <v>1151</v>
      </c>
      <c r="C385" s="27" t="s">
        <v>387</v>
      </c>
      <c r="D385" s="27" t="s">
        <v>35</v>
      </c>
      <c r="E385" s="27" t="s">
        <v>1152</v>
      </c>
      <c r="F385" s="28" t="s">
        <v>37</v>
      </c>
      <c r="G385" s="27" t="s">
        <v>49</v>
      </c>
      <c r="H385" s="50"/>
      <c r="I385" s="36"/>
      <c r="J385" s="50">
        <v>45953.0</v>
      </c>
      <c r="K385" s="30" t="str">
        <f t="shared" si="3"/>
        <v/>
      </c>
      <c r="L385" s="27" t="s">
        <v>40</v>
      </c>
      <c r="M385" s="32" t="s">
        <v>1153</v>
      </c>
      <c r="N385" s="42">
        <v>5.4</v>
      </c>
      <c r="O385" s="27" t="s">
        <v>51</v>
      </c>
      <c r="P385" s="27" t="s">
        <v>42</v>
      </c>
      <c r="Q385" s="65" t="s">
        <v>1154</v>
      </c>
      <c r="R385" s="35"/>
      <c r="S385" s="36"/>
      <c r="T385" s="37"/>
      <c r="U385" s="37"/>
      <c r="V385" s="37"/>
      <c r="W385" s="37"/>
      <c r="X385" s="37"/>
      <c r="Y385" s="38"/>
      <c r="Z385" s="37"/>
      <c r="AA385" s="37"/>
      <c r="AB385" s="37"/>
      <c r="AC385" s="37"/>
    </row>
    <row r="386" ht="42.75" customHeight="1">
      <c r="A386" s="13" t="s">
        <v>1155</v>
      </c>
      <c r="B386" s="20" t="s">
        <v>1156</v>
      </c>
      <c r="C386" s="13" t="s">
        <v>387</v>
      </c>
      <c r="D386" s="13" t="s">
        <v>35</v>
      </c>
      <c r="E386" s="13" t="s">
        <v>1157</v>
      </c>
      <c r="F386" s="14" t="s">
        <v>37</v>
      </c>
      <c r="G386" s="13" t="s">
        <v>49</v>
      </c>
      <c r="H386" s="50"/>
      <c r="I386" s="22"/>
      <c r="J386" s="50">
        <v>46008.0</v>
      </c>
      <c r="K386" s="17" t="str">
        <f t="shared" si="3"/>
        <v/>
      </c>
      <c r="L386" s="13" t="s">
        <v>40</v>
      </c>
      <c r="M386" s="25" t="s">
        <v>1158</v>
      </c>
      <c r="N386" s="19">
        <v>0.72</v>
      </c>
      <c r="O386" s="13" t="s">
        <v>41</v>
      </c>
      <c r="P386" s="20" t="s">
        <v>42</v>
      </c>
      <c r="Q386" s="40" t="s">
        <v>1159</v>
      </c>
      <c r="R386" s="21"/>
      <c r="S386" s="22"/>
      <c r="T386" s="23"/>
      <c r="U386" s="23"/>
      <c r="V386" s="23"/>
      <c r="W386" s="23"/>
      <c r="X386" s="23"/>
      <c r="Y386" s="24"/>
      <c r="Z386" s="23"/>
      <c r="AA386" s="23"/>
      <c r="AB386" s="23"/>
      <c r="AC386" s="23"/>
    </row>
    <row r="387" ht="42.75" customHeight="1">
      <c r="A387" s="27" t="s">
        <v>1160</v>
      </c>
      <c r="B387" s="31" t="s">
        <v>1161</v>
      </c>
      <c r="C387" s="27" t="s">
        <v>387</v>
      </c>
      <c r="D387" s="27" t="s">
        <v>35</v>
      </c>
      <c r="E387" s="27" t="s">
        <v>1157</v>
      </c>
      <c r="F387" s="28" t="s">
        <v>37</v>
      </c>
      <c r="G387" s="27" t="s">
        <v>49</v>
      </c>
      <c r="H387" s="50"/>
      <c r="I387" s="36"/>
      <c r="J387" s="50">
        <v>46002.0</v>
      </c>
      <c r="K387" s="30" t="str">
        <f t="shared" si="3"/>
        <v/>
      </c>
      <c r="L387" s="27" t="s">
        <v>40</v>
      </c>
      <c r="M387" s="32" t="s">
        <v>1162</v>
      </c>
      <c r="N387" s="42">
        <v>1.6</v>
      </c>
      <c r="O387" s="27" t="s">
        <v>58</v>
      </c>
      <c r="P387" s="31" t="s">
        <v>42</v>
      </c>
      <c r="Q387" s="34" t="s">
        <v>1163</v>
      </c>
      <c r="R387" s="35"/>
      <c r="S387" s="36"/>
      <c r="T387" s="37"/>
      <c r="U387" s="37"/>
      <c r="V387" s="37"/>
      <c r="W387" s="37"/>
      <c r="X387" s="37"/>
      <c r="Y387" s="38"/>
      <c r="Z387" s="37"/>
      <c r="AA387" s="37"/>
      <c r="AB387" s="37"/>
      <c r="AC387" s="37"/>
    </row>
    <row r="388" ht="42.75" customHeight="1">
      <c r="A388" s="13" t="s">
        <v>1164</v>
      </c>
      <c r="B388" s="20" t="s">
        <v>1165</v>
      </c>
      <c r="C388" s="13" t="s">
        <v>387</v>
      </c>
      <c r="D388" s="13" t="s">
        <v>35</v>
      </c>
      <c r="E388" s="13" t="s">
        <v>1166</v>
      </c>
      <c r="F388" s="14" t="s">
        <v>37</v>
      </c>
      <c r="G388" s="13" t="s">
        <v>49</v>
      </c>
      <c r="H388" s="50"/>
      <c r="I388" s="22"/>
      <c r="J388" s="50">
        <v>45902.0</v>
      </c>
      <c r="K388" s="17" t="str">
        <f t="shared" si="3"/>
        <v/>
      </c>
      <c r="L388" s="13" t="s">
        <v>40</v>
      </c>
      <c r="M388" s="25" t="s">
        <v>1167</v>
      </c>
      <c r="N388" s="19">
        <v>2.6</v>
      </c>
      <c r="O388" s="13" t="s">
        <v>81</v>
      </c>
      <c r="P388" s="13" t="s">
        <v>42</v>
      </c>
      <c r="Q388" s="40" t="s">
        <v>1168</v>
      </c>
      <c r="R388" s="21"/>
      <c r="S388" s="22"/>
      <c r="T388" s="23"/>
      <c r="U388" s="23"/>
      <c r="V388" s="23"/>
      <c r="W388" s="23"/>
      <c r="X388" s="23"/>
      <c r="Y388" s="24"/>
      <c r="Z388" s="23"/>
      <c r="AA388" s="23"/>
      <c r="AB388" s="23"/>
      <c r="AC388" s="23"/>
    </row>
    <row r="389" ht="15.75" customHeight="1">
      <c r="A389" s="71" t="s">
        <v>1169</v>
      </c>
      <c r="B389" s="71" t="s">
        <v>1170</v>
      </c>
      <c r="C389" s="72" t="s">
        <v>629</v>
      </c>
      <c r="D389" s="72" t="s">
        <v>409</v>
      </c>
      <c r="E389" s="72" t="s">
        <v>1171</v>
      </c>
      <c r="F389" s="72" t="s">
        <v>86</v>
      </c>
      <c r="G389" s="72" t="s">
        <v>49</v>
      </c>
      <c r="H389" s="73"/>
      <c r="I389" s="74"/>
      <c r="J389" s="74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</row>
    <row r="390" ht="15.75" customHeight="1">
      <c r="A390" s="72" t="s">
        <v>1172</v>
      </c>
      <c r="B390" s="72" t="s">
        <v>1173</v>
      </c>
      <c r="C390" s="72" t="s">
        <v>84</v>
      </c>
      <c r="D390" s="72" t="s">
        <v>35</v>
      </c>
      <c r="E390" s="72" t="s">
        <v>1174</v>
      </c>
      <c r="F390" s="72" t="s">
        <v>86</v>
      </c>
      <c r="G390" s="72" t="s">
        <v>91</v>
      </c>
      <c r="H390" s="72" t="s">
        <v>786</v>
      </c>
      <c r="I390" s="74"/>
      <c r="J390" s="74"/>
      <c r="K390" s="73"/>
      <c r="L390" s="72" t="s">
        <v>40</v>
      </c>
      <c r="M390" s="73"/>
      <c r="N390" s="72"/>
      <c r="O390" s="72" t="s">
        <v>41</v>
      </c>
      <c r="P390" s="72" t="s">
        <v>42</v>
      </c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</row>
    <row r="391" ht="15.75" customHeight="1">
      <c r="A391" s="75" t="s">
        <v>1175</v>
      </c>
      <c r="B391" s="76"/>
      <c r="C391" s="72" t="s">
        <v>34</v>
      </c>
      <c r="D391" s="72" t="s">
        <v>35</v>
      </c>
      <c r="E391" s="72" t="s">
        <v>1176</v>
      </c>
      <c r="F391" s="72" t="s">
        <v>37</v>
      </c>
      <c r="G391" s="72" t="s">
        <v>75</v>
      </c>
      <c r="H391" s="73"/>
      <c r="I391" s="74"/>
      <c r="J391" s="74"/>
      <c r="K391" s="73"/>
      <c r="L391" s="72" t="s">
        <v>40</v>
      </c>
      <c r="M391" s="72" t="s">
        <v>1177</v>
      </c>
      <c r="N391" s="72">
        <v>0.91</v>
      </c>
      <c r="O391" s="72" t="s">
        <v>41</v>
      </c>
      <c r="P391" s="72" t="s">
        <v>59</v>
      </c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</row>
    <row r="392" ht="15.75" customHeight="1">
      <c r="A392" s="76" t="s">
        <v>1178</v>
      </c>
      <c r="B392" s="75" t="s">
        <v>1179</v>
      </c>
      <c r="C392" s="72" t="s">
        <v>34</v>
      </c>
      <c r="D392" s="72" t="s">
        <v>35</v>
      </c>
      <c r="E392" s="72" t="s">
        <v>1176</v>
      </c>
      <c r="F392" s="72" t="s">
        <v>37</v>
      </c>
      <c r="G392" s="72" t="s">
        <v>75</v>
      </c>
      <c r="H392" s="73"/>
      <c r="I392" s="74"/>
      <c r="J392" s="74"/>
      <c r="K392" s="73"/>
      <c r="L392" s="72" t="s">
        <v>40</v>
      </c>
      <c r="M392" s="72" t="s">
        <v>1177</v>
      </c>
      <c r="N392" s="72">
        <v>0.91</v>
      </c>
      <c r="O392" s="72" t="s">
        <v>41</v>
      </c>
      <c r="P392" s="72" t="s">
        <v>59</v>
      </c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</row>
    <row r="393" ht="27.75" customHeight="1">
      <c r="A393" s="77"/>
      <c r="B393" s="78"/>
      <c r="C393" s="72"/>
      <c r="D393" s="72"/>
      <c r="E393" s="72"/>
      <c r="F393" s="72"/>
      <c r="G393" s="72"/>
      <c r="H393" s="72"/>
      <c r="I393" s="74"/>
      <c r="J393" s="74"/>
      <c r="K393" s="73"/>
      <c r="L393" s="72"/>
      <c r="M393" s="76"/>
      <c r="N393" s="72"/>
      <c r="O393" s="72"/>
      <c r="P393" s="72"/>
      <c r="Q393" s="79"/>
      <c r="R393" s="73"/>
      <c r="S393" s="73"/>
      <c r="T393" s="73"/>
      <c r="U393" s="73"/>
      <c r="V393" s="72"/>
      <c r="W393" s="72"/>
      <c r="X393" s="73"/>
      <c r="Y393" s="73"/>
      <c r="Z393" s="73"/>
      <c r="AA393" s="73"/>
      <c r="AB393" s="73"/>
      <c r="AC393" s="73"/>
    </row>
    <row r="394" ht="27.75" customHeight="1">
      <c r="A394" s="77" t="s">
        <v>1180</v>
      </c>
      <c r="B394" s="78" t="s">
        <v>1181</v>
      </c>
      <c r="C394" s="72" t="s">
        <v>84</v>
      </c>
      <c r="D394" s="72" t="s">
        <v>35</v>
      </c>
      <c r="E394" s="72" t="s">
        <v>428</v>
      </c>
      <c r="F394" s="72" t="s">
        <v>37</v>
      </c>
      <c r="G394" s="72" t="s">
        <v>75</v>
      </c>
      <c r="H394" s="72" t="s">
        <v>1182</v>
      </c>
      <c r="I394" s="74"/>
      <c r="J394" s="74"/>
      <c r="K394" s="73"/>
      <c r="L394" s="72" t="s">
        <v>40</v>
      </c>
      <c r="M394" s="72" t="s">
        <v>1183</v>
      </c>
      <c r="N394" s="72">
        <v>0.565</v>
      </c>
      <c r="O394" s="72" t="s">
        <v>81</v>
      </c>
      <c r="P394" s="72" t="s">
        <v>42</v>
      </c>
      <c r="Q394" s="80" t="s">
        <v>1184</v>
      </c>
      <c r="R394" s="73"/>
      <c r="S394" s="73"/>
      <c r="T394" s="73"/>
      <c r="U394" s="73"/>
      <c r="V394" s="72" t="s">
        <v>1185</v>
      </c>
      <c r="W394" s="72" t="s">
        <v>1186</v>
      </c>
      <c r="X394" s="73"/>
      <c r="Y394" s="73"/>
      <c r="Z394" s="73"/>
      <c r="AA394" s="73"/>
      <c r="AB394" s="73"/>
      <c r="AC394" s="73"/>
    </row>
    <row r="395" ht="15.75" customHeight="1">
      <c r="A395" s="77" t="s">
        <v>1187</v>
      </c>
      <c r="B395" s="78" t="s">
        <v>1188</v>
      </c>
      <c r="C395" s="72" t="s">
        <v>408</v>
      </c>
      <c r="D395" s="72" t="s">
        <v>409</v>
      </c>
      <c r="E395" s="72" t="s">
        <v>562</v>
      </c>
      <c r="F395" s="72" t="s">
        <v>86</v>
      </c>
      <c r="G395" s="72" t="s">
        <v>75</v>
      </c>
      <c r="H395" s="81">
        <v>46067.0</v>
      </c>
      <c r="I395" s="74"/>
      <c r="J395" s="82">
        <v>46084.0</v>
      </c>
      <c r="K395" s="73"/>
      <c r="L395" s="72" t="s">
        <v>64</v>
      </c>
      <c r="M395" s="72" t="s">
        <v>1189</v>
      </c>
      <c r="N395" s="73"/>
      <c r="O395" s="72" t="s">
        <v>257</v>
      </c>
      <c r="P395" s="72" t="s">
        <v>42</v>
      </c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</row>
    <row r="396" ht="15.75" customHeight="1">
      <c r="A396" s="56" t="s">
        <v>1190</v>
      </c>
      <c r="B396" s="72" t="s">
        <v>1191</v>
      </c>
      <c r="C396" s="72" t="s">
        <v>84</v>
      </c>
      <c r="D396" s="72" t="s">
        <v>35</v>
      </c>
      <c r="E396" s="72" t="s">
        <v>428</v>
      </c>
      <c r="F396" s="72" t="s">
        <v>37</v>
      </c>
      <c r="G396" s="72" t="s">
        <v>75</v>
      </c>
      <c r="H396" s="72" t="s">
        <v>1192</v>
      </c>
      <c r="I396" s="74"/>
      <c r="J396" s="74"/>
      <c r="K396" s="73"/>
      <c r="L396" s="72" t="s">
        <v>56</v>
      </c>
      <c r="M396" s="83" t="s">
        <v>1193</v>
      </c>
      <c r="N396" s="73"/>
      <c r="O396" s="73"/>
      <c r="P396" s="72" t="s">
        <v>42</v>
      </c>
      <c r="Q396" s="56" t="s">
        <v>1194</v>
      </c>
      <c r="R396" s="73"/>
      <c r="S396" s="73"/>
      <c r="T396" s="73"/>
      <c r="U396" s="73"/>
      <c r="V396" s="72" t="s">
        <v>1185</v>
      </c>
      <c r="W396" s="72" t="s">
        <v>1186</v>
      </c>
      <c r="X396" s="73"/>
      <c r="Y396" s="73"/>
      <c r="Z396" s="73"/>
      <c r="AA396" s="73"/>
      <c r="AB396" s="73"/>
      <c r="AC396" s="73"/>
    </row>
    <row r="397" ht="15.75" customHeight="1">
      <c r="A397" s="84" t="s">
        <v>1195</v>
      </c>
      <c r="B397" s="45" t="s">
        <v>1196</v>
      </c>
      <c r="C397" s="72" t="s">
        <v>199</v>
      </c>
      <c r="D397" s="72" t="s">
        <v>35</v>
      </c>
      <c r="E397" s="72" t="s">
        <v>1197</v>
      </c>
      <c r="F397" s="72" t="s">
        <v>220</v>
      </c>
      <c r="G397" s="72" t="s">
        <v>75</v>
      </c>
      <c r="H397" s="72" t="s">
        <v>1198</v>
      </c>
      <c r="I397" s="74"/>
      <c r="J397" s="85" t="s">
        <v>1199</v>
      </c>
      <c r="K397" s="73"/>
      <c r="L397" s="72" t="s">
        <v>56</v>
      </c>
      <c r="M397" s="31" t="s">
        <v>1200</v>
      </c>
      <c r="N397" s="73"/>
      <c r="O397" s="72" t="s">
        <v>58</v>
      </c>
      <c r="P397" s="72" t="s">
        <v>59</v>
      </c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</row>
    <row r="398" ht="42.75" customHeight="1">
      <c r="A398" s="13" t="s">
        <v>1201</v>
      </c>
      <c r="B398" s="20" t="s">
        <v>1202</v>
      </c>
      <c r="C398" s="20" t="s">
        <v>408</v>
      </c>
      <c r="D398" s="20" t="s">
        <v>409</v>
      </c>
      <c r="E398" s="20" t="s">
        <v>1203</v>
      </c>
      <c r="F398" s="14" t="s">
        <v>86</v>
      </c>
      <c r="G398" s="20" t="s">
        <v>49</v>
      </c>
      <c r="H398" s="20" t="s">
        <v>1204</v>
      </c>
      <c r="I398" s="86"/>
      <c r="J398" s="39">
        <v>46267.0</v>
      </c>
      <c r="K398" s="17"/>
      <c r="L398" s="20" t="s">
        <v>40</v>
      </c>
      <c r="M398" s="25" t="s">
        <v>1205</v>
      </c>
      <c r="N398" s="26"/>
      <c r="O398" s="20" t="s">
        <v>81</v>
      </c>
      <c r="P398" s="20" t="s">
        <v>59</v>
      </c>
      <c r="Q398" s="40" t="s">
        <v>1206</v>
      </c>
      <c r="R398" s="21"/>
      <c r="S398" s="22"/>
      <c r="T398" s="23"/>
      <c r="U398" s="23"/>
      <c r="V398" s="23"/>
      <c r="W398" s="23"/>
      <c r="X398" s="23"/>
      <c r="Y398" s="24"/>
      <c r="Z398" s="23"/>
      <c r="AA398" s="23"/>
      <c r="AB398" s="23"/>
      <c r="AC398" s="23"/>
    </row>
    <row r="399" ht="42.75" customHeight="1">
      <c r="A399" s="20" t="s">
        <v>1207</v>
      </c>
      <c r="B399" s="20" t="s">
        <v>1208</v>
      </c>
      <c r="C399" s="20" t="s">
        <v>408</v>
      </c>
      <c r="D399" s="20" t="s">
        <v>409</v>
      </c>
      <c r="E399" s="20" t="s">
        <v>1203</v>
      </c>
      <c r="F399" s="14" t="s">
        <v>86</v>
      </c>
      <c r="G399" s="20" t="s">
        <v>49</v>
      </c>
      <c r="H399" s="20" t="s">
        <v>1209</v>
      </c>
      <c r="I399" s="86"/>
      <c r="J399" s="14" t="s">
        <v>1210</v>
      </c>
      <c r="K399" s="17"/>
      <c r="L399" s="20" t="s">
        <v>40</v>
      </c>
      <c r="M399" s="25" t="s">
        <v>1211</v>
      </c>
      <c r="N399" s="26"/>
      <c r="O399" s="20" t="s">
        <v>41</v>
      </c>
      <c r="P399" s="20" t="s">
        <v>59</v>
      </c>
      <c r="Q399" s="40" t="s">
        <v>1212</v>
      </c>
      <c r="R399" s="21"/>
      <c r="S399" s="22"/>
      <c r="T399" s="23"/>
      <c r="U399" s="23"/>
      <c r="V399" s="23"/>
      <c r="W399" s="23"/>
      <c r="X399" s="23"/>
      <c r="Y399" s="24"/>
      <c r="Z399" s="23"/>
      <c r="AA399" s="23"/>
      <c r="AB399" s="23"/>
      <c r="AC399" s="23"/>
    </row>
    <row r="400" ht="42.75" customHeight="1">
      <c r="A400" s="20" t="s">
        <v>1213</v>
      </c>
      <c r="B400" s="20" t="s">
        <v>1214</v>
      </c>
      <c r="C400" s="20" t="s">
        <v>408</v>
      </c>
      <c r="D400" s="20" t="s">
        <v>409</v>
      </c>
      <c r="E400" s="20" t="s">
        <v>1203</v>
      </c>
      <c r="F400" s="14" t="s">
        <v>86</v>
      </c>
      <c r="G400" s="20" t="s">
        <v>49</v>
      </c>
      <c r="H400" s="87">
        <v>45756.0</v>
      </c>
      <c r="I400" s="86"/>
      <c r="J400" s="14" t="s">
        <v>1210</v>
      </c>
      <c r="K400" s="17"/>
      <c r="L400" s="20" t="s">
        <v>40</v>
      </c>
      <c r="M400" s="25" t="s">
        <v>1215</v>
      </c>
      <c r="N400" s="26"/>
      <c r="O400" s="20" t="s">
        <v>41</v>
      </c>
      <c r="P400" s="20" t="s">
        <v>59</v>
      </c>
      <c r="Q400" s="40" t="s">
        <v>1216</v>
      </c>
      <c r="R400" s="21"/>
      <c r="S400" s="22"/>
      <c r="T400" s="23"/>
      <c r="U400" s="23"/>
      <c r="V400" s="23"/>
      <c r="W400" s="23"/>
      <c r="X400" s="23"/>
      <c r="Y400" s="24"/>
      <c r="Z400" s="23"/>
      <c r="AA400" s="23"/>
      <c r="AB400" s="23"/>
      <c r="AC400" s="23"/>
    </row>
    <row r="401" ht="42.75" customHeight="1">
      <c r="A401" s="20" t="s">
        <v>1217</v>
      </c>
      <c r="B401" s="20" t="s">
        <v>1218</v>
      </c>
      <c r="C401" s="20" t="s">
        <v>408</v>
      </c>
      <c r="D401" s="20" t="s">
        <v>409</v>
      </c>
      <c r="E401" s="20" t="s">
        <v>1219</v>
      </c>
      <c r="F401" s="14" t="s">
        <v>86</v>
      </c>
      <c r="G401" s="20" t="s">
        <v>49</v>
      </c>
      <c r="H401" s="20" t="s">
        <v>1220</v>
      </c>
      <c r="I401" s="86"/>
      <c r="J401" s="88">
        <v>46000.0</v>
      </c>
      <c r="K401" s="17"/>
      <c r="L401" s="20" t="s">
        <v>40</v>
      </c>
      <c r="M401" s="25" t="s">
        <v>1221</v>
      </c>
      <c r="N401" s="26"/>
      <c r="O401" s="20" t="s">
        <v>51</v>
      </c>
      <c r="P401" s="20" t="s">
        <v>59</v>
      </c>
      <c r="Q401" s="40" t="s">
        <v>1222</v>
      </c>
      <c r="R401" s="21"/>
      <c r="S401" s="22"/>
      <c r="T401" s="23"/>
      <c r="U401" s="23"/>
      <c r="V401" s="23"/>
      <c r="W401" s="23"/>
      <c r="X401" s="23"/>
      <c r="Y401" s="24"/>
      <c r="Z401" s="23"/>
      <c r="AA401" s="23"/>
      <c r="AB401" s="23"/>
      <c r="AC401" s="23"/>
    </row>
    <row r="402" ht="15.75" customHeight="1">
      <c r="A402" s="89" t="s">
        <v>1223</v>
      </c>
      <c r="B402" s="90" t="s">
        <v>1224</v>
      </c>
      <c r="C402" s="91" t="s">
        <v>199</v>
      </c>
      <c r="D402" s="91" t="s">
        <v>35</v>
      </c>
      <c r="E402" s="27" t="s">
        <v>376</v>
      </c>
      <c r="F402" s="31" t="s">
        <v>86</v>
      </c>
      <c r="G402" s="27" t="s">
        <v>75</v>
      </c>
      <c r="H402" s="29">
        <v>45656.0</v>
      </c>
      <c r="I402" s="29"/>
      <c r="J402" s="29">
        <v>45673.0</v>
      </c>
      <c r="K402" s="30"/>
      <c r="L402" s="27" t="s">
        <v>56</v>
      </c>
      <c r="M402" s="31" t="s">
        <v>1200</v>
      </c>
      <c r="N402" s="92"/>
      <c r="O402" s="27" t="s">
        <v>58</v>
      </c>
      <c r="P402" s="31" t="s">
        <v>59</v>
      </c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</row>
    <row r="403" ht="15.75" customHeight="1">
      <c r="A403" s="94" t="s">
        <v>1225</v>
      </c>
      <c r="B403" s="76" t="s">
        <v>1226</v>
      </c>
      <c r="C403" s="72" t="s">
        <v>199</v>
      </c>
      <c r="D403" s="72" t="s">
        <v>35</v>
      </c>
      <c r="E403" s="27" t="s">
        <v>376</v>
      </c>
      <c r="F403" s="72" t="s">
        <v>86</v>
      </c>
      <c r="G403" s="72" t="s">
        <v>49</v>
      </c>
      <c r="H403" s="45" t="s">
        <v>1227</v>
      </c>
      <c r="I403" s="74"/>
      <c r="J403" s="95">
        <v>46267.0</v>
      </c>
      <c r="K403" s="73"/>
      <c r="L403" s="72" t="s">
        <v>56</v>
      </c>
      <c r="M403" s="72" t="s">
        <v>65</v>
      </c>
      <c r="N403" s="73"/>
      <c r="O403" s="72" t="s">
        <v>58</v>
      </c>
      <c r="P403" s="72" t="s">
        <v>59</v>
      </c>
      <c r="Q403" s="96" t="s">
        <v>1228</v>
      </c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4"/>
      <c r="J404" s="74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</row>
    <row r="405" ht="15.75" customHeight="1">
      <c r="A405" s="97" t="s">
        <v>1229</v>
      </c>
      <c r="B405" s="76" t="s">
        <v>1230</v>
      </c>
      <c r="C405" s="72" t="s">
        <v>408</v>
      </c>
      <c r="D405" s="72" t="s">
        <v>409</v>
      </c>
      <c r="E405" s="72" t="s">
        <v>1231</v>
      </c>
      <c r="F405" s="72" t="s">
        <v>97</v>
      </c>
      <c r="G405" s="72" t="s">
        <v>399</v>
      </c>
      <c r="H405" s="72" t="s">
        <v>1232</v>
      </c>
      <c r="I405" s="74"/>
      <c r="J405" s="74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</row>
    <row r="406" ht="15.75" customHeight="1">
      <c r="A406" s="98"/>
      <c r="B406" s="72" t="s">
        <v>1233</v>
      </c>
      <c r="C406" s="72" t="s">
        <v>34</v>
      </c>
      <c r="D406" s="72" t="s">
        <v>35</v>
      </c>
      <c r="E406" s="72" t="s">
        <v>1234</v>
      </c>
      <c r="F406" s="72" t="s">
        <v>220</v>
      </c>
      <c r="G406" s="72" t="s">
        <v>49</v>
      </c>
      <c r="H406" s="99">
        <v>46000.0</v>
      </c>
      <c r="I406" s="74"/>
      <c r="J406" s="74"/>
      <c r="K406" s="73"/>
      <c r="L406" s="72" t="s">
        <v>56</v>
      </c>
      <c r="M406" s="72" t="s">
        <v>1235</v>
      </c>
      <c r="N406" s="73"/>
      <c r="O406" s="73"/>
      <c r="P406" s="73"/>
      <c r="Q406" s="56" t="s">
        <v>1236</v>
      </c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</row>
    <row r="407" ht="15.75" customHeight="1">
      <c r="A407" s="100" t="s">
        <v>1237</v>
      </c>
      <c r="B407" s="100" t="s">
        <v>1238</v>
      </c>
      <c r="C407" s="72" t="s">
        <v>199</v>
      </c>
      <c r="D407" s="72" t="s">
        <v>35</v>
      </c>
      <c r="E407" s="72" t="s">
        <v>1239</v>
      </c>
      <c r="F407" s="72" t="s">
        <v>220</v>
      </c>
      <c r="G407" s="72" t="s">
        <v>75</v>
      </c>
      <c r="H407" s="72" t="s">
        <v>1240</v>
      </c>
      <c r="I407" s="74"/>
      <c r="J407" s="85" t="s">
        <v>1241</v>
      </c>
      <c r="K407" s="73"/>
      <c r="L407" s="72" t="s">
        <v>64</v>
      </c>
      <c r="M407" s="100" t="s">
        <v>1242</v>
      </c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</row>
    <row r="408" ht="15.75" customHeight="1">
      <c r="A408" s="101" t="s">
        <v>1243</v>
      </c>
      <c r="B408" s="102" t="s">
        <v>1244</v>
      </c>
      <c r="C408" s="101" t="s">
        <v>186</v>
      </c>
      <c r="D408" s="101" t="s">
        <v>35</v>
      </c>
      <c r="E408" s="103" t="s">
        <v>1245</v>
      </c>
      <c r="F408" s="103" t="s">
        <v>220</v>
      </c>
      <c r="G408" s="104" t="s">
        <v>75</v>
      </c>
      <c r="H408" s="105">
        <v>45660.0</v>
      </c>
      <c r="I408" s="86"/>
      <c r="J408" s="101" t="s">
        <v>1246</v>
      </c>
      <c r="K408" s="106"/>
      <c r="L408" s="101" t="s">
        <v>64</v>
      </c>
      <c r="M408" s="103" t="s">
        <v>1247</v>
      </c>
      <c r="N408" s="107"/>
      <c r="O408" s="107"/>
      <c r="P408" s="107"/>
      <c r="Q408" s="108" t="s">
        <v>1248</v>
      </c>
      <c r="R408" s="107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</row>
    <row r="409" ht="15.75" customHeight="1">
      <c r="A409" s="110" t="s">
        <v>1249</v>
      </c>
      <c r="B409" s="111" t="s">
        <v>1250</v>
      </c>
      <c r="C409" s="72" t="s">
        <v>408</v>
      </c>
      <c r="D409" s="72" t="s">
        <v>1251</v>
      </c>
      <c r="E409" s="72" t="s">
        <v>1252</v>
      </c>
      <c r="F409" s="72" t="s">
        <v>1253</v>
      </c>
      <c r="G409" s="72" t="s">
        <v>49</v>
      </c>
      <c r="H409" s="72">
        <v>2026.0</v>
      </c>
      <c r="I409" s="74"/>
      <c r="J409" s="74"/>
      <c r="K409" s="73"/>
      <c r="L409" s="72" t="s">
        <v>64</v>
      </c>
      <c r="M409" s="72" t="s">
        <v>1254</v>
      </c>
      <c r="N409" s="73"/>
      <c r="O409" s="73"/>
      <c r="P409" s="73"/>
      <c r="Q409" s="111" t="s">
        <v>1255</v>
      </c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</row>
    <row r="410" ht="15.75" customHeight="1">
      <c r="A410" s="112" t="s">
        <v>1256</v>
      </c>
      <c r="B410" s="113" t="s">
        <v>1257</v>
      </c>
      <c r="C410" s="72" t="s">
        <v>416</v>
      </c>
      <c r="D410" s="72" t="s">
        <v>409</v>
      </c>
      <c r="E410" s="72" t="s">
        <v>1258</v>
      </c>
      <c r="F410" s="72" t="s">
        <v>97</v>
      </c>
      <c r="G410" s="72" t="s">
        <v>49</v>
      </c>
      <c r="H410" s="114">
        <v>45451.0</v>
      </c>
      <c r="I410" s="82">
        <v>45870.0</v>
      </c>
      <c r="J410" s="82">
        <v>46357.0</v>
      </c>
      <c r="K410" s="73"/>
      <c r="L410" s="72" t="s">
        <v>40</v>
      </c>
      <c r="M410" s="72" t="s">
        <v>1247</v>
      </c>
      <c r="N410" s="73"/>
      <c r="O410" s="72" t="s">
        <v>41</v>
      </c>
      <c r="P410" s="73"/>
      <c r="Q410" s="115" t="s">
        <v>1259</v>
      </c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</row>
    <row r="411" ht="15.75" customHeight="1">
      <c r="A411" s="112" t="s">
        <v>1260</v>
      </c>
      <c r="B411" s="113" t="s">
        <v>1261</v>
      </c>
      <c r="C411" s="72" t="s">
        <v>416</v>
      </c>
      <c r="D411" s="72" t="s">
        <v>409</v>
      </c>
      <c r="E411" s="72" t="s">
        <v>422</v>
      </c>
      <c r="F411" s="72" t="s">
        <v>86</v>
      </c>
      <c r="G411" s="72" t="s">
        <v>75</v>
      </c>
      <c r="H411" s="114">
        <v>45477.0</v>
      </c>
      <c r="I411" s="116">
        <v>45842.0</v>
      </c>
      <c r="J411" s="85" t="s">
        <v>1262</v>
      </c>
      <c r="K411" s="73"/>
      <c r="L411" s="72" t="s">
        <v>40</v>
      </c>
      <c r="M411" s="117" t="s">
        <v>1263</v>
      </c>
      <c r="N411" s="72">
        <v>0.588</v>
      </c>
      <c r="O411" s="72" t="s">
        <v>41</v>
      </c>
      <c r="P411" s="72" t="s">
        <v>42</v>
      </c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</row>
    <row r="412" ht="15.75" customHeight="1">
      <c r="A412" s="118" t="s">
        <v>1264</v>
      </c>
      <c r="B412" s="119" t="s">
        <v>1265</v>
      </c>
      <c r="C412" s="72" t="s">
        <v>408</v>
      </c>
      <c r="D412" s="72" t="s">
        <v>409</v>
      </c>
      <c r="E412" s="73"/>
      <c r="F412" s="72" t="s">
        <v>97</v>
      </c>
      <c r="G412" s="72" t="s">
        <v>49</v>
      </c>
      <c r="H412" s="72">
        <v>2026.0</v>
      </c>
      <c r="I412" s="74"/>
      <c r="J412" s="74"/>
      <c r="K412" s="73"/>
      <c r="L412" s="72" t="s">
        <v>40</v>
      </c>
      <c r="M412" s="76" t="s">
        <v>1266</v>
      </c>
      <c r="N412" s="73"/>
      <c r="O412" s="72" t="s">
        <v>51</v>
      </c>
      <c r="P412" s="73"/>
      <c r="Q412" s="45" t="s">
        <v>1267</v>
      </c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</row>
    <row r="413" ht="15.75" customHeight="1">
      <c r="A413" s="120" t="s">
        <v>1268</v>
      </c>
      <c r="B413" s="121" t="s">
        <v>1269</v>
      </c>
      <c r="C413" s="72" t="s">
        <v>34</v>
      </c>
      <c r="D413" s="72" t="s">
        <v>35</v>
      </c>
      <c r="E413" s="72" t="s">
        <v>1270</v>
      </c>
      <c r="F413" s="72" t="s">
        <v>86</v>
      </c>
      <c r="G413" s="72" t="s">
        <v>49</v>
      </c>
      <c r="I413" s="122">
        <v>45944.0</v>
      </c>
      <c r="J413" s="122">
        <v>46062.0</v>
      </c>
      <c r="K413" s="73"/>
      <c r="L413" s="72" t="s">
        <v>40</v>
      </c>
      <c r="M413" s="76" t="s">
        <v>1271</v>
      </c>
      <c r="N413" s="72" t="s">
        <v>1272</v>
      </c>
      <c r="O413" s="72" t="s">
        <v>81</v>
      </c>
      <c r="P413" s="73"/>
      <c r="Q413" s="123" t="s">
        <v>1273</v>
      </c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</row>
    <row r="414" ht="15.75" customHeight="1">
      <c r="A414" s="112" t="s">
        <v>1274</v>
      </c>
      <c r="B414" s="113" t="s">
        <v>1275</v>
      </c>
      <c r="C414" s="72" t="s">
        <v>416</v>
      </c>
      <c r="D414" s="72" t="s">
        <v>409</v>
      </c>
      <c r="E414" s="72" t="s">
        <v>422</v>
      </c>
      <c r="F414" s="72" t="s">
        <v>86</v>
      </c>
      <c r="G414" s="72" t="s">
        <v>91</v>
      </c>
      <c r="H414" s="81">
        <v>45971.0</v>
      </c>
      <c r="I414" s="82">
        <v>46268.0</v>
      </c>
      <c r="J414" s="74"/>
      <c r="K414" s="73"/>
      <c r="L414" s="72" t="s">
        <v>40</v>
      </c>
      <c r="M414" s="76" t="s">
        <v>636</v>
      </c>
      <c r="N414" s="73"/>
      <c r="O414" s="72" t="s">
        <v>41</v>
      </c>
      <c r="P414" s="72" t="s">
        <v>42</v>
      </c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</row>
    <row r="415" ht="15.75" customHeight="1">
      <c r="A415" s="120" t="s">
        <v>1276</v>
      </c>
      <c r="B415" s="121" t="s">
        <v>1277</v>
      </c>
      <c r="C415" s="72" t="s">
        <v>34</v>
      </c>
      <c r="D415" s="72" t="s">
        <v>35</v>
      </c>
      <c r="E415" s="124" t="s">
        <v>1278</v>
      </c>
      <c r="F415" s="72" t="s">
        <v>86</v>
      </c>
      <c r="G415" s="72" t="s">
        <v>49</v>
      </c>
      <c r="H415" s="73"/>
      <c r="I415" s="122">
        <v>45881.0</v>
      </c>
      <c r="J415" s="122">
        <v>45986.0</v>
      </c>
      <c r="K415" s="73"/>
      <c r="L415" s="72" t="s">
        <v>40</v>
      </c>
      <c r="M415" s="112" t="s">
        <v>1279</v>
      </c>
      <c r="N415" s="72">
        <v>1.22</v>
      </c>
      <c r="O415" s="72" t="s">
        <v>41</v>
      </c>
      <c r="P415" s="73"/>
      <c r="Q415" s="123" t="s">
        <v>1280</v>
      </c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</row>
    <row r="416" ht="15.75" customHeight="1">
      <c r="A416" s="124" t="s">
        <v>1281</v>
      </c>
      <c r="B416" s="121" t="s">
        <v>1282</v>
      </c>
      <c r="C416" s="72" t="s">
        <v>34</v>
      </c>
      <c r="D416" s="72" t="s">
        <v>35</v>
      </c>
      <c r="E416" s="124" t="s">
        <v>1278</v>
      </c>
      <c r="F416" s="72" t="s">
        <v>86</v>
      </c>
      <c r="G416" s="72" t="s">
        <v>49</v>
      </c>
      <c r="H416" s="73"/>
      <c r="I416" s="122">
        <v>45919.0</v>
      </c>
      <c r="J416" s="122">
        <v>45995.0</v>
      </c>
      <c r="K416" s="73"/>
      <c r="L416" s="72" t="s">
        <v>40</v>
      </c>
      <c r="M416" s="125" t="s">
        <v>1283</v>
      </c>
      <c r="N416" s="72">
        <v>0.958</v>
      </c>
      <c r="O416" s="72" t="s">
        <v>41</v>
      </c>
      <c r="P416" s="73"/>
      <c r="Q416" s="96" t="s">
        <v>1284</v>
      </c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</row>
    <row r="417" ht="15.75" customHeight="1">
      <c r="A417" s="126" t="s">
        <v>1285</v>
      </c>
      <c r="B417" s="121" t="s">
        <v>1286</v>
      </c>
      <c r="C417" s="72" t="s">
        <v>34</v>
      </c>
      <c r="D417" s="72" t="s">
        <v>35</v>
      </c>
      <c r="E417" s="124" t="s">
        <v>1287</v>
      </c>
      <c r="F417" s="72" t="s">
        <v>86</v>
      </c>
      <c r="G417" s="72" t="s">
        <v>49</v>
      </c>
      <c r="H417" s="73"/>
      <c r="I417" s="122">
        <v>45780.0</v>
      </c>
      <c r="J417" s="122">
        <v>46030.0</v>
      </c>
      <c r="K417" s="73"/>
      <c r="L417" s="72" t="s">
        <v>40</v>
      </c>
      <c r="M417" s="125" t="s">
        <v>1288</v>
      </c>
      <c r="N417" s="72">
        <v>6.1</v>
      </c>
      <c r="O417" s="72" t="s">
        <v>51</v>
      </c>
      <c r="P417" s="73"/>
      <c r="Q417" s="127" t="s">
        <v>1289</v>
      </c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</row>
    <row r="418" ht="15.75" customHeight="1">
      <c r="A418" s="72" t="s">
        <v>1290</v>
      </c>
      <c r="B418" s="72" t="s">
        <v>1291</v>
      </c>
      <c r="C418" s="72" t="s">
        <v>186</v>
      </c>
      <c r="D418" s="72" t="s">
        <v>35</v>
      </c>
      <c r="E418" s="72" t="s">
        <v>1292</v>
      </c>
      <c r="F418" s="72" t="s">
        <v>37</v>
      </c>
      <c r="G418" s="72" t="s">
        <v>49</v>
      </c>
      <c r="H418" s="73"/>
      <c r="I418" s="74"/>
      <c r="J418" s="95">
        <v>46297.0</v>
      </c>
      <c r="K418" s="73"/>
      <c r="L418" s="72" t="s">
        <v>56</v>
      </c>
      <c r="M418" s="76" t="s">
        <v>1293</v>
      </c>
      <c r="N418" s="73"/>
      <c r="O418" s="72" t="s">
        <v>58</v>
      </c>
      <c r="P418" s="72" t="s">
        <v>42</v>
      </c>
      <c r="Q418" s="127" t="s">
        <v>1294</v>
      </c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</row>
    <row r="419" ht="15.75" customHeight="1">
      <c r="A419" s="72" t="s">
        <v>1295</v>
      </c>
      <c r="B419" s="72" t="s">
        <v>1296</v>
      </c>
      <c r="C419" s="72" t="s">
        <v>186</v>
      </c>
      <c r="D419" s="72" t="s">
        <v>35</v>
      </c>
      <c r="E419" s="72" t="s">
        <v>1297</v>
      </c>
      <c r="F419" s="72" t="s">
        <v>86</v>
      </c>
      <c r="G419" s="72" t="s">
        <v>49</v>
      </c>
      <c r="H419" s="73"/>
      <c r="I419" s="74"/>
      <c r="J419" s="85" t="s">
        <v>1298</v>
      </c>
      <c r="K419" s="73"/>
      <c r="L419" s="72" t="s">
        <v>40</v>
      </c>
      <c r="M419" s="72" t="s">
        <v>1299</v>
      </c>
      <c r="N419" s="72">
        <v>2.4</v>
      </c>
      <c r="O419" s="72" t="s">
        <v>81</v>
      </c>
      <c r="P419" s="72" t="s">
        <v>42</v>
      </c>
      <c r="Q419" s="128" t="s">
        <v>1300</v>
      </c>
      <c r="R419" s="72">
        <v>4.0</v>
      </c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</row>
    <row r="420" ht="15.75" customHeight="1">
      <c r="A420" s="72" t="s">
        <v>1301</v>
      </c>
      <c r="B420" s="72" t="s">
        <v>1302</v>
      </c>
      <c r="C420" s="72" t="s">
        <v>186</v>
      </c>
      <c r="D420" s="72" t="s">
        <v>35</v>
      </c>
      <c r="E420" s="72" t="s">
        <v>1303</v>
      </c>
      <c r="F420" s="73"/>
      <c r="G420" s="72" t="s">
        <v>49</v>
      </c>
      <c r="H420" s="72" t="s">
        <v>1304</v>
      </c>
      <c r="I420" s="74"/>
      <c r="J420" s="85" t="s">
        <v>1305</v>
      </c>
      <c r="K420" s="73"/>
      <c r="L420" s="72" t="s">
        <v>40</v>
      </c>
      <c r="M420" s="72" t="s">
        <v>1306</v>
      </c>
      <c r="N420" s="72">
        <v>2.6</v>
      </c>
      <c r="O420" s="72" t="s">
        <v>81</v>
      </c>
      <c r="P420" s="72" t="s">
        <v>42</v>
      </c>
      <c r="Q420" s="96" t="s">
        <v>1307</v>
      </c>
      <c r="R420" s="72">
        <v>3.0</v>
      </c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</row>
    <row r="421" ht="15.75" customHeight="1">
      <c r="A421" s="72" t="s">
        <v>1308</v>
      </c>
      <c r="B421" s="72" t="s">
        <v>1309</v>
      </c>
      <c r="C421" s="72" t="s">
        <v>186</v>
      </c>
      <c r="D421" s="72" t="s">
        <v>35</v>
      </c>
      <c r="E421" s="72" t="s">
        <v>1297</v>
      </c>
      <c r="F421" s="72" t="s">
        <v>86</v>
      </c>
      <c r="G421" s="72" t="s">
        <v>49</v>
      </c>
      <c r="H421" s="81">
        <v>45150.0</v>
      </c>
      <c r="I421" s="74"/>
      <c r="J421" s="85" t="s">
        <v>1310</v>
      </c>
      <c r="K421" s="73"/>
      <c r="L421" s="72" t="s">
        <v>40</v>
      </c>
      <c r="M421" s="72" t="s">
        <v>1311</v>
      </c>
      <c r="N421" s="72">
        <v>4.0</v>
      </c>
      <c r="O421" s="72" t="s">
        <v>51</v>
      </c>
      <c r="P421" s="72" t="s">
        <v>42</v>
      </c>
      <c r="Q421" s="96" t="s">
        <v>1312</v>
      </c>
      <c r="R421" s="72">
        <v>2.0</v>
      </c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</row>
    <row r="422" ht="36.75" customHeight="1">
      <c r="A422" s="73"/>
      <c r="B422" s="72" t="s">
        <v>841</v>
      </c>
      <c r="C422" s="72" t="s">
        <v>629</v>
      </c>
      <c r="D422" s="72" t="s">
        <v>409</v>
      </c>
      <c r="E422" s="73"/>
      <c r="F422" s="72" t="s">
        <v>37</v>
      </c>
      <c r="G422" s="73"/>
      <c r="H422" s="73"/>
      <c r="I422" s="74"/>
      <c r="J422" s="74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2" t="s">
        <v>1313</v>
      </c>
      <c r="W422" s="76" t="s">
        <v>1314</v>
      </c>
      <c r="X422" s="76" t="s">
        <v>1315</v>
      </c>
      <c r="Y422" s="72" t="s">
        <v>1316</v>
      </c>
      <c r="Z422" s="73"/>
      <c r="AA422" s="72" t="s">
        <v>45</v>
      </c>
      <c r="AB422" s="72" t="s">
        <v>59</v>
      </c>
      <c r="AC422" s="72" t="s">
        <v>1317</v>
      </c>
    </row>
    <row r="423" ht="15.75" customHeight="1">
      <c r="A423" s="76" t="s">
        <v>1318</v>
      </c>
      <c r="B423" s="72" t="s">
        <v>1319</v>
      </c>
      <c r="C423" s="72" t="s">
        <v>84</v>
      </c>
      <c r="D423" s="72" t="s">
        <v>35</v>
      </c>
      <c r="E423" s="72" t="s">
        <v>372</v>
      </c>
      <c r="F423" s="72" t="s">
        <v>37</v>
      </c>
      <c r="G423" s="72" t="s">
        <v>163</v>
      </c>
      <c r="H423" s="72" t="s">
        <v>1320</v>
      </c>
      <c r="I423" s="74"/>
      <c r="J423" s="74"/>
      <c r="K423" s="73"/>
      <c r="L423" s="72" t="s">
        <v>40</v>
      </c>
      <c r="M423" s="72" t="s">
        <v>1321</v>
      </c>
      <c r="N423" s="73"/>
      <c r="O423" s="72" t="s">
        <v>81</v>
      </c>
      <c r="P423" s="72" t="s">
        <v>42</v>
      </c>
      <c r="Q423" s="73"/>
      <c r="R423" s="73"/>
      <c r="S423" s="73"/>
      <c r="T423" s="73"/>
      <c r="U423" s="72">
        <v>2.0</v>
      </c>
      <c r="V423" s="73"/>
      <c r="W423" s="73"/>
      <c r="X423" s="73"/>
      <c r="Y423" s="73"/>
      <c r="Z423" s="73"/>
      <c r="AA423" s="73"/>
      <c r="AB423" s="73"/>
      <c r="AC423" s="73"/>
    </row>
    <row r="424" ht="15.75" customHeight="1">
      <c r="A424" s="129" t="s">
        <v>1322</v>
      </c>
      <c r="B424" s="72" t="s">
        <v>1323</v>
      </c>
      <c r="C424" s="72" t="s">
        <v>84</v>
      </c>
      <c r="D424" s="72" t="s">
        <v>35</v>
      </c>
      <c r="E424" s="72" t="s">
        <v>1324</v>
      </c>
      <c r="F424" s="72" t="s">
        <v>37</v>
      </c>
      <c r="G424" s="72" t="s">
        <v>38</v>
      </c>
      <c r="H424" s="72" t="s">
        <v>1325</v>
      </c>
      <c r="I424" s="74"/>
      <c r="J424" s="74"/>
      <c r="K424" s="73"/>
      <c r="L424" s="72" t="s">
        <v>40</v>
      </c>
      <c r="M424" s="72" t="s">
        <v>1326</v>
      </c>
      <c r="N424" s="72">
        <v>2.1</v>
      </c>
      <c r="O424" s="72" t="s">
        <v>905</v>
      </c>
      <c r="P424" s="72" t="s">
        <v>42</v>
      </c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</row>
    <row r="425" ht="15.75" customHeight="1">
      <c r="A425" s="130" t="s">
        <v>1327</v>
      </c>
      <c r="B425" s="131" t="s">
        <v>1328</v>
      </c>
      <c r="C425" s="72" t="s">
        <v>408</v>
      </c>
      <c r="D425" s="72" t="s">
        <v>409</v>
      </c>
      <c r="E425" s="72" t="s">
        <v>1329</v>
      </c>
      <c r="F425" s="72" t="s">
        <v>97</v>
      </c>
      <c r="G425" s="72" t="s">
        <v>49</v>
      </c>
      <c r="H425" s="72" t="s">
        <v>1330</v>
      </c>
      <c r="I425" s="74"/>
      <c r="J425" s="74"/>
      <c r="K425" s="73"/>
      <c r="L425" s="72" t="s">
        <v>56</v>
      </c>
      <c r="M425" s="72" t="s">
        <v>1331</v>
      </c>
      <c r="N425" s="73"/>
      <c r="O425" s="72" t="s">
        <v>1332</v>
      </c>
      <c r="P425" s="72" t="s">
        <v>59</v>
      </c>
      <c r="Q425" s="132" t="s">
        <v>1333</v>
      </c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</row>
    <row r="426" ht="15.75" customHeight="1">
      <c r="A426" s="76" t="s">
        <v>1334</v>
      </c>
      <c r="B426" s="72" t="s">
        <v>319</v>
      </c>
      <c r="C426" s="72" t="s">
        <v>84</v>
      </c>
      <c r="D426" s="72" t="s">
        <v>35</v>
      </c>
      <c r="E426" s="72" t="s">
        <v>319</v>
      </c>
      <c r="F426" s="72" t="s">
        <v>37</v>
      </c>
      <c r="G426" s="72" t="s">
        <v>399</v>
      </c>
      <c r="H426" s="99">
        <v>46055.0</v>
      </c>
      <c r="I426" s="74"/>
      <c r="J426" s="74"/>
      <c r="K426" s="73"/>
      <c r="L426" s="72" t="s">
        <v>40</v>
      </c>
      <c r="M426" s="72" t="s">
        <v>1335</v>
      </c>
      <c r="N426" s="73"/>
      <c r="O426" s="73"/>
      <c r="P426" s="72" t="s">
        <v>42</v>
      </c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</row>
    <row r="427" ht="15.75" customHeight="1">
      <c r="A427" s="72" t="s">
        <v>1336</v>
      </c>
      <c r="B427" s="72" t="s">
        <v>1337</v>
      </c>
      <c r="C427" s="72" t="s">
        <v>84</v>
      </c>
      <c r="D427" s="72" t="s">
        <v>35</v>
      </c>
      <c r="E427" s="56" t="s">
        <v>1338</v>
      </c>
      <c r="F427" s="72" t="s">
        <v>37</v>
      </c>
      <c r="G427" s="72" t="s">
        <v>49</v>
      </c>
      <c r="H427" s="72" t="s">
        <v>1339</v>
      </c>
      <c r="I427" s="74"/>
      <c r="J427" s="74"/>
      <c r="K427" s="73"/>
      <c r="L427" s="72" t="s">
        <v>56</v>
      </c>
      <c r="M427" s="72" t="s">
        <v>1340</v>
      </c>
      <c r="N427" s="73"/>
      <c r="O427" s="73"/>
      <c r="P427" s="72" t="s">
        <v>42</v>
      </c>
      <c r="Q427" s="133" t="s">
        <v>1341</v>
      </c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</row>
    <row r="428" ht="15.75" customHeight="1">
      <c r="A428" s="76" t="s">
        <v>1342</v>
      </c>
      <c r="B428" s="76" t="s">
        <v>1343</v>
      </c>
      <c r="C428" s="72" t="s">
        <v>408</v>
      </c>
      <c r="D428" s="72" t="s">
        <v>409</v>
      </c>
      <c r="E428" s="72" t="s">
        <v>1344</v>
      </c>
      <c r="F428" s="72" t="s">
        <v>37</v>
      </c>
      <c r="G428" s="72" t="s">
        <v>75</v>
      </c>
      <c r="H428" s="72" t="s">
        <v>1204</v>
      </c>
      <c r="I428" s="85"/>
      <c r="J428" s="85" t="s">
        <v>1345</v>
      </c>
      <c r="K428" s="73"/>
      <c r="L428" s="72" t="s">
        <v>40</v>
      </c>
      <c r="M428" s="76" t="s">
        <v>1346</v>
      </c>
      <c r="N428" s="72">
        <v>8.14</v>
      </c>
      <c r="O428" s="73"/>
      <c r="P428" s="73"/>
      <c r="Q428" s="73"/>
      <c r="R428" s="73"/>
      <c r="S428" s="73"/>
      <c r="T428" s="73"/>
      <c r="U428" s="73"/>
      <c r="V428" s="76" t="s">
        <v>1347</v>
      </c>
      <c r="W428" s="73"/>
      <c r="X428" s="73"/>
      <c r="Y428" s="73"/>
      <c r="Z428" s="73"/>
      <c r="AA428" s="73"/>
      <c r="AB428" s="73"/>
      <c r="AC428" s="73"/>
    </row>
    <row r="429" ht="15.75" customHeight="1">
      <c r="A429" s="45" t="s">
        <v>1348</v>
      </c>
      <c r="B429" s="72" t="s">
        <v>1349</v>
      </c>
      <c r="C429" s="72" t="s">
        <v>408</v>
      </c>
      <c r="D429" s="72" t="s">
        <v>409</v>
      </c>
      <c r="E429" s="72" t="s">
        <v>653</v>
      </c>
      <c r="F429" s="72" t="s">
        <v>37</v>
      </c>
      <c r="G429" s="72" t="s">
        <v>75</v>
      </c>
      <c r="H429" s="72" t="s">
        <v>1350</v>
      </c>
      <c r="I429" s="74"/>
      <c r="J429" s="74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</row>
    <row r="430" ht="15.75" customHeight="1">
      <c r="A430" s="72" t="s">
        <v>1351</v>
      </c>
      <c r="B430" s="72" t="s">
        <v>1352</v>
      </c>
      <c r="C430" s="72" t="s">
        <v>199</v>
      </c>
      <c r="D430" s="72" t="s">
        <v>35</v>
      </c>
      <c r="E430" s="72" t="s">
        <v>1353</v>
      </c>
      <c r="F430" s="72" t="s">
        <v>37</v>
      </c>
      <c r="G430" s="72" t="s">
        <v>75</v>
      </c>
      <c r="H430" s="72" t="s">
        <v>1354</v>
      </c>
      <c r="I430" s="74"/>
      <c r="J430" s="95">
        <v>45848.0</v>
      </c>
      <c r="K430" s="73"/>
      <c r="L430" s="72" t="s">
        <v>40</v>
      </c>
      <c r="M430" s="72" t="s">
        <v>1355</v>
      </c>
      <c r="N430" s="72">
        <v>1.9</v>
      </c>
      <c r="O430" s="72" t="s">
        <v>41</v>
      </c>
      <c r="P430" s="72" t="s">
        <v>59</v>
      </c>
      <c r="Q430" s="127" t="s">
        <v>1356</v>
      </c>
      <c r="R430" s="73"/>
      <c r="S430" s="73"/>
      <c r="T430" s="73"/>
      <c r="U430" s="73"/>
      <c r="V430" s="72" t="s">
        <v>1357</v>
      </c>
      <c r="W430" s="73"/>
      <c r="X430" s="73"/>
      <c r="Y430" s="73"/>
      <c r="Z430" s="73"/>
      <c r="AA430" s="73"/>
      <c r="AB430" s="73"/>
      <c r="AC430" s="73"/>
    </row>
    <row r="431" ht="15.75" customHeight="1">
      <c r="A431" s="72" t="s">
        <v>1358</v>
      </c>
      <c r="B431" s="72" t="s">
        <v>1359</v>
      </c>
      <c r="C431" s="73"/>
      <c r="D431" s="73"/>
      <c r="E431" s="72" t="s">
        <v>653</v>
      </c>
      <c r="F431" s="72" t="s">
        <v>37</v>
      </c>
      <c r="G431" s="72" t="s">
        <v>75</v>
      </c>
      <c r="H431" s="72" t="s">
        <v>1350</v>
      </c>
      <c r="I431" s="74"/>
      <c r="J431" s="74"/>
      <c r="K431" s="73"/>
      <c r="L431" s="73"/>
      <c r="M431" s="73"/>
      <c r="N431" s="73"/>
      <c r="O431" s="73"/>
      <c r="P431" s="73"/>
      <c r="Q431" s="96" t="s">
        <v>1360</v>
      </c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</row>
    <row r="432" ht="15.75" customHeight="1">
      <c r="A432" s="134" t="s">
        <v>596</v>
      </c>
      <c r="B432" s="111" t="s">
        <v>1361</v>
      </c>
      <c r="C432" s="72" t="s">
        <v>416</v>
      </c>
      <c r="D432" s="72" t="s">
        <v>409</v>
      </c>
      <c r="E432" s="56" t="s">
        <v>1362</v>
      </c>
      <c r="F432" s="72" t="s">
        <v>86</v>
      </c>
      <c r="G432" s="72" t="s">
        <v>49</v>
      </c>
      <c r="H432" s="72" t="s">
        <v>1363</v>
      </c>
      <c r="I432" s="74"/>
      <c r="J432" s="74"/>
      <c r="K432" s="73"/>
      <c r="L432" s="72" t="s">
        <v>64</v>
      </c>
      <c r="M432" s="135" t="s">
        <v>1364</v>
      </c>
      <c r="N432" s="73"/>
      <c r="O432" s="73"/>
      <c r="P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</row>
    <row r="433" ht="15.75" customHeight="1">
      <c r="A433" s="136" t="s">
        <v>1365</v>
      </c>
      <c r="B433" s="84" t="s">
        <v>1366</v>
      </c>
      <c r="C433" s="72" t="s">
        <v>408</v>
      </c>
      <c r="D433" s="72" t="s">
        <v>409</v>
      </c>
      <c r="E433" s="137" t="s">
        <v>1367</v>
      </c>
      <c r="F433" s="72" t="s">
        <v>97</v>
      </c>
      <c r="G433" s="72" t="s">
        <v>75</v>
      </c>
      <c r="H433" s="72"/>
      <c r="I433" s="85" t="s">
        <v>1368</v>
      </c>
      <c r="J433" s="85" t="s">
        <v>1369</v>
      </c>
      <c r="K433" s="73"/>
      <c r="L433" s="72" t="s">
        <v>64</v>
      </c>
      <c r="M433" s="138" t="s">
        <v>1370</v>
      </c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</row>
    <row r="434" ht="15.75" customHeight="1">
      <c r="A434" s="72" t="s">
        <v>1371</v>
      </c>
      <c r="B434" s="72" t="s">
        <v>1372</v>
      </c>
      <c r="C434" s="72" t="s">
        <v>199</v>
      </c>
      <c r="D434" s="72" t="s">
        <v>35</v>
      </c>
      <c r="E434" s="72" t="s">
        <v>1353</v>
      </c>
      <c r="F434" s="72" t="s">
        <v>37</v>
      </c>
      <c r="G434" s="72" t="s">
        <v>49</v>
      </c>
      <c r="H434" s="81">
        <v>45638.0</v>
      </c>
      <c r="I434" s="74"/>
      <c r="J434" s="85" t="s">
        <v>1373</v>
      </c>
      <c r="K434" s="73"/>
      <c r="L434" s="72" t="s">
        <v>40</v>
      </c>
      <c r="M434" s="72" t="s">
        <v>1374</v>
      </c>
      <c r="N434" s="72">
        <v>2.1</v>
      </c>
      <c r="O434" s="72" t="s">
        <v>81</v>
      </c>
      <c r="P434" s="72" t="s">
        <v>42</v>
      </c>
      <c r="Q434" s="127" t="s">
        <v>1375</v>
      </c>
      <c r="R434" s="72">
        <v>2.0</v>
      </c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</row>
    <row r="435" ht="15.75" customHeight="1">
      <c r="A435" s="72" t="s">
        <v>1376</v>
      </c>
      <c r="B435" s="72" t="s">
        <v>1377</v>
      </c>
      <c r="C435" s="72" t="s">
        <v>186</v>
      </c>
      <c r="D435" s="72" t="s">
        <v>35</v>
      </c>
      <c r="E435" s="72" t="s">
        <v>1378</v>
      </c>
      <c r="F435" s="72" t="s">
        <v>86</v>
      </c>
      <c r="G435" s="72" t="s">
        <v>75</v>
      </c>
      <c r="H435" s="99">
        <v>45937.0</v>
      </c>
      <c r="I435" s="86"/>
      <c r="J435" s="85" t="s">
        <v>39</v>
      </c>
      <c r="K435" s="73"/>
      <c r="L435" s="72" t="s">
        <v>64</v>
      </c>
      <c r="M435" s="72" t="s">
        <v>1379</v>
      </c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</row>
    <row r="436" ht="15.75" customHeight="1">
      <c r="A436" s="76" t="s">
        <v>1380</v>
      </c>
      <c r="B436" s="76" t="s">
        <v>1381</v>
      </c>
      <c r="C436" s="72" t="s">
        <v>408</v>
      </c>
      <c r="D436" s="72" t="s">
        <v>409</v>
      </c>
      <c r="E436" s="72" t="s">
        <v>1382</v>
      </c>
      <c r="F436" s="72" t="s">
        <v>37</v>
      </c>
      <c r="G436" s="72" t="s">
        <v>38</v>
      </c>
      <c r="I436" s="85" t="s">
        <v>1383</v>
      </c>
      <c r="J436" s="74"/>
      <c r="K436" s="73"/>
      <c r="L436" s="72" t="s">
        <v>40</v>
      </c>
      <c r="M436" s="72" t="s">
        <v>1384</v>
      </c>
      <c r="N436" s="72">
        <v>7.6</v>
      </c>
      <c r="O436" s="72" t="s">
        <v>51</v>
      </c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</row>
    <row r="437" ht="15.75" customHeight="1">
      <c r="A437" s="72" t="s">
        <v>1385</v>
      </c>
      <c r="B437" s="72" t="s">
        <v>1386</v>
      </c>
      <c r="C437" s="72" t="s">
        <v>199</v>
      </c>
      <c r="D437" s="72" t="s">
        <v>35</v>
      </c>
      <c r="E437" s="72" t="s">
        <v>1386</v>
      </c>
      <c r="F437" s="72" t="s">
        <v>86</v>
      </c>
      <c r="G437" s="72" t="s">
        <v>75</v>
      </c>
      <c r="H437" s="73"/>
      <c r="I437" s="74"/>
      <c r="J437" s="74"/>
      <c r="K437" s="73"/>
      <c r="L437" s="72" t="s">
        <v>64</v>
      </c>
      <c r="M437" s="72" t="s">
        <v>1387</v>
      </c>
      <c r="N437" s="73"/>
      <c r="O437" s="73"/>
      <c r="P437" s="72" t="s">
        <v>59</v>
      </c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</row>
    <row r="438" ht="15.75" customHeight="1">
      <c r="A438" s="76" t="s">
        <v>1388</v>
      </c>
      <c r="B438" s="76" t="s">
        <v>1389</v>
      </c>
      <c r="C438" s="72" t="s">
        <v>408</v>
      </c>
      <c r="D438" s="72" t="s">
        <v>409</v>
      </c>
      <c r="E438" s="73"/>
      <c r="F438" s="72" t="s">
        <v>97</v>
      </c>
      <c r="G438" s="72" t="s">
        <v>399</v>
      </c>
      <c r="H438" s="99">
        <v>46025.0</v>
      </c>
      <c r="I438" s="74"/>
      <c r="J438" s="74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</row>
    <row r="439" ht="15.75" customHeight="1">
      <c r="A439" s="72" t="s">
        <v>1390</v>
      </c>
      <c r="B439" s="72" t="s">
        <v>1391</v>
      </c>
      <c r="C439" s="72" t="s">
        <v>218</v>
      </c>
      <c r="D439" s="72" t="s">
        <v>35</v>
      </c>
      <c r="E439" s="72" t="s">
        <v>1392</v>
      </c>
      <c r="F439" s="72" t="s">
        <v>37</v>
      </c>
      <c r="G439" s="72" t="s">
        <v>38</v>
      </c>
      <c r="H439" s="72"/>
      <c r="I439" s="74"/>
      <c r="J439" s="74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</row>
    <row r="440" ht="15.75" customHeight="1">
      <c r="A440" s="139" t="s">
        <v>881</v>
      </c>
      <c r="B440" s="140" t="s">
        <v>1393</v>
      </c>
      <c r="C440" s="72" t="s">
        <v>387</v>
      </c>
      <c r="D440" s="72" t="s">
        <v>409</v>
      </c>
      <c r="E440" s="72" t="s">
        <v>883</v>
      </c>
      <c r="F440" s="72" t="s">
        <v>37</v>
      </c>
      <c r="G440" s="72" t="s">
        <v>49</v>
      </c>
      <c r="H440" s="73"/>
      <c r="I440" s="74"/>
      <c r="J440" s="74"/>
      <c r="K440" s="73"/>
      <c r="L440" s="72" t="s">
        <v>40</v>
      </c>
      <c r="M440" s="141" t="s">
        <v>1394</v>
      </c>
      <c r="N440" s="72">
        <v>7.2</v>
      </c>
      <c r="O440" s="72" t="s">
        <v>51</v>
      </c>
      <c r="P440" s="72" t="s">
        <v>42</v>
      </c>
      <c r="Q440" s="96" t="s">
        <v>1395</v>
      </c>
      <c r="R440" s="72">
        <v>3.0</v>
      </c>
      <c r="S440" s="72">
        <v>2025.0</v>
      </c>
      <c r="T440" s="73"/>
      <c r="U440" s="73"/>
      <c r="V440" s="73"/>
      <c r="W440" s="73"/>
      <c r="X440" s="73"/>
      <c r="Y440" s="73"/>
      <c r="Z440" s="73"/>
      <c r="AA440" s="73"/>
      <c r="AB440" s="73"/>
      <c r="AC440" s="73"/>
    </row>
    <row r="441" ht="15.75" customHeight="1">
      <c r="A441" s="142" t="s">
        <v>1396</v>
      </c>
      <c r="B441" s="72" t="s">
        <v>1397</v>
      </c>
      <c r="C441" s="72" t="s">
        <v>408</v>
      </c>
      <c r="D441" s="72" t="s">
        <v>409</v>
      </c>
      <c r="E441" s="72" t="s">
        <v>1398</v>
      </c>
      <c r="F441" s="72" t="s">
        <v>97</v>
      </c>
      <c r="G441" s="72" t="s">
        <v>49</v>
      </c>
      <c r="H441" s="73"/>
      <c r="I441" s="85" t="s">
        <v>1399</v>
      </c>
      <c r="J441" s="74"/>
      <c r="K441" s="73"/>
      <c r="L441" s="72" t="s">
        <v>64</v>
      </c>
      <c r="M441" s="143" t="s">
        <v>1400</v>
      </c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</row>
    <row r="442" ht="15.75" customHeight="1">
      <c r="A442" s="144" t="s">
        <v>1401</v>
      </c>
      <c r="B442" s="140" t="s">
        <v>1402</v>
      </c>
      <c r="C442" s="72" t="s">
        <v>416</v>
      </c>
      <c r="D442" s="72" t="s">
        <v>409</v>
      </c>
      <c r="E442" s="72" t="s">
        <v>437</v>
      </c>
      <c r="F442" s="72" t="s">
        <v>86</v>
      </c>
      <c r="G442" s="72" t="s">
        <v>49</v>
      </c>
      <c r="H442" s="73"/>
      <c r="I442" s="74"/>
      <c r="J442" s="85" t="s">
        <v>1403</v>
      </c>
      <c r="K442" s="73"/>
      <c r="L442" s="72" t="s">
        <v>56</v>
      </c>
      <c r="M442" s="145" t="s">
        <v>1404</v>
      </c>
      <c r="N442" s="73"/>
      <c r="O442" s="72" t="s">
        <v>1405</v>
      </c>
      <c r="P442" s="73"/>
      <c r="Q442" s="146" t="s">
        <v>1406</v>
      </c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</row>
    <row r="443" ht="15.75" customHeight="1">
      <c r="A443" s="77" t="s">
        <v>1407</v>
      </c>
      <c r="B443" s="140" t="s">
        <v>1408</v>
      </c>
      <c r="C443" s="72" t="s">
        <v>387</v>
      </c>
      <c r="D443" s="72" t="s">
        <v>409</v>
      </c>
      <c r="E443" s="147" t="s">
        <v>1409</v>
      </c>
      <c r="F443" s="72" t="s">
        <v>37</v>
      </c>
      <c r="G443" s="72" t="s">
        <v>49</v>
      </c>
      <c r="H443" s="73"/>
      <c r="I443" s="74"/>
      <c r="J443" s="74"/>
      <c r="K443" s="73"/>
      <c r="L443" s="72" t="s">
        <v>40</v>
      </c>
      <c r="M443" s="140" t="s">
        <v>1410</v>
      </c>
      <c r="N443" s="73"/>
      <c r="O443" s="72" t="s">
        <v>81</v>
      </c>
      <c r="P443" s="72" t="s">
        <v>42</v>
      </c>
      <c r="Q443" s="148" t="s">
        <v>1411</v>
      </c>
      <c r="R443" s="72">
        <v>1.0</v>
      </c>
      <c r="S443" s="72">
        <v>2025.0</v>
      </c>
      <c r="T443" s="73"/>
      <c r="U443" s="73"/>
      <c r="V443" s="73"/>
      <c r="W443" s="73"/>
      <c r="X443" s="73"/>
      <c r="Y443" s="73"/>
      <c r="Z443" s="73"/>
      <c r="AA443" s="73"/>
      <c r="AB443" s="73"/>
      <c r="AC443" s="73"/>
    </row>
    <row r="444" ht="15.75" customHeight="1">
      <c r="A444" s="149" t="s">
        <v>1412</v>
      </c>
      <c r="B444" s="72" t="s">
        <v>1413</v>
      </c>
      <c r="C444" s="72" t="s">
        <v>416</v>
      </c>
      <c r="D444" s="72" t="s">
        <v>409</v>
      </c>
      <c r="E444" s="72" t="s">
        <v>1414</v>
      </c>
      <c r="F444" s="72" t="s">
        <v>86</v>
      </c>
      <c r="G444" s="72" t="s">
        <v>75</v>
      </c>
      <c r="H444" s="73"/>
      <c r="I444" s="74"/>
      <c r="J444" s="85" t="s">
        <v>1415</v>
      </c>
      <c r="K444" s="73"/>
      <c r="L444" s="72" t="s">
        <v>56</v>
      </c>
      <c r="M444" s="150" t="s">
        <v>1416</v>
      </c>
      <c r="N444" s="73"/>
      <c r="O444" s="72" t="s">
        <v>1417</v>
      </c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</row>
    <row r="445" ht="15.75" customHeight="1">
      <c r="A445" s="72" t="s">
        <v>1418</v>
      </c>
      <c r="B445" s="72" t="s">
        <v>1419</v>
      </c>
      <c r="C445" s="72" t="s">
        <v>84</v>
      </c>
      <c r="D445" s="72" t="s">
        <v>35</v>
      </c>
      <c r="E445" s="72" t="s">
        <v>1420</v>
      </c>
      <c r="F445" s="72" t="s">
        <v>86</v>
      </c>
      <c r="G445" s="72" t="s">
        <v>91</v>
      </c>
      <c r="H445" s="72" t="s">
        <v>1421</v>
      </c>
      <c r="I445" s="74"/>
      <c r="J445" s="85" t="s">
        <v>1422</v>
      </c>
      <c r="K445" s="73"/>
      <c r="L445" s="72" t="s">
        <v>64</v>
      </c>
      <c r="M445" s="72" t="s">
        <v>1423</v>
      </c>
      <c r="N445" s="73"/>
      <c r="O445" s="72" t="s">
        <v>257</v>
      </c>
      <c r="P445" s="72" t="s">
        <v>59</v>
      </c>
      <c r="Q445" s="73"/>
      <c r="R445" s="73"/>
      <c r="S445" s="73"/>
      <c r="T445" s="73"/>
      <c r="U445" s="72">
        <v>1.0</v>
      </c>
      <c r="V445" s="72" t="s">
        <v>1424</v>
      </c>
      <c r="W445" s="73"/>
      <c r="X445" s="73"/>
      <c r="Y445" s="73"/>
      <c r="Z445" s="72" t="s">
        <v>1425</v>
      </c>
      <c r="AA445" s="72" t="s">
        <v>286</v>
      </c>
      <c r="AB445" s="73"/>
      <c r="AC445" s="73"/>
    </row>
    <row r="446" ht="15.75" customHeight="1">
      <c r="A446" s="72" t="s">
        <v>1426</v>
      </c>
      <c r="B446" s="72" t="s">
        <v>1427</v>
      </c>
      <c r="C446" s="72" t="s">
        <v>416</v>
      </c>
      <c r="D446" s="72" t="s">
        <v>409</v>
      </c>
      <c r="E446" s="72" t="s">
        <v>1071</v>
      </c>
      <c r="F446" s="72" t="s">
        <v>86</v>
      </c>
      <c r="G446" s="72" t="s">
        <v>163</v>
      </c>
      <c r="H446" s="81">
        <v>45976.0</v>
      </c>
      <c r="I446" s="82"/>
      <c r="J446" s="74"/>
      <c r="K446" s="73"/>
      <c r="L446" s="72" t="s">
        <v>40</v>
      </c>
      <c r="M446" s="151" t="s">
        <v>1428</v>
      </c>
      <c r="N446" s="73"/>
      <c r="O446" s="72" t="s">
        <v>41</v>
      </c>
      <c r="P446" s="72" t="s">
        <v>59</v>
      </c>
      <c r="Q446" s="73"/>
      <c r="R446" s="73"/>
      <c r="S446" s="73"/>
      <c r="T446" s="73"/>
      <c r="U446" s="72">
        <v>1.0</v>
      </c>
      <c r="V446" s="72" t="s">
        <v>1429</v>
      </c>
      <c r="W446" s="73"/>
      <c r="X446" s="73"/>
      <c r="Y446" s="73"/>
      <c r="Z446" s="73"/>
      <c r="AA446" s="73"/>
      <c r="AB446" s="73"/>
      <c r="AC446" s="73"/>
    </row>
    <row r="447" ht="15.75" customHeight="1">
      <c r="A447" s="76" t="s">
        <v>1430</v>
      </c>
      <c r="B447" s="76" t="s">
        <v>1431</v>
      </c>
      <c r="C447" s="72" t="s">
        <v>408</v>
      </c>
      <c r="D447" s="72" t="s">
        <v>409</v>
      </c>
      <c r="E447" s="72" t="s">
        <v>1432</v>
      </c>
      <c r="F447" s="72" t="s">
        <v>97</v>
      </c>
      <c r="G447" s="72" t="s">
        <v>75</v>
      </c>
      <c r="H447" s="81">
        <v>46036.0</v>
      </c>
      <c r="I447" s="82">
        <v>46036.0</v>
      </c>
      <c r="J447" s="95">
        <v>46144.0</v>
      </c>
      <c r="K447" s="73"/>
      <c r="L447" s="72" t="s">
        <v>64</v>
      </c>
      <c r="M447" s="152" t="s">
        <v>1433</v>
      </c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4"/>
      <c r="J448" s="74"/>
      <c r="K448" s="73"/>
      <c r="L448" s="73"/>
      <c r="M448" s="152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</row>
    <row r="449" ht="15.75" customHeight="1">
      <c r="A449" s="72"/>
      <c r="B449" s="73"/>
      <c r="C449" s="73"/>
      <c r="D449" s="73"/>
      <c r="E449" s="73"/>
      <c r="F449" s="73"/>
      <c r="G449" s="73"/>
      <c r="H449" s="73"/>
      <c r="I449" s="74"/>
      <c r="J449" s="74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</row>
    <row r="450" ht="15.75" customHeight="1">
      <c r="A450" s="72" t="s">
        <v>1434</v>
      </c>
      <c r="B450" s="76" t="s">
        <v>1435</v>
      </c>
      <c r="C450" s="72" t="s">
        <v>84</v>
      </c>
      <c r="D450" s="72" t="s">
        <v>35</v>
      </c>
      <c r="E450" s="72" t="s">
        <v>1436</v>
      </c>
      <c r="F450" s="72" t="s">
        <v>86</v>
      </c>
      <c r="G450" s="72" t="s">
        <v>49</v>
      </c>
      <c r="H450" s="81">
        <v>46003.0</v>
      </c>
      <c r="I450" s="74"/>
      <c r="J450" s="74"/>
      <c r="K450" s="73"/>
      <c r="L450" s="73"/>
      <c r="M450" s="76" t="s">
        <v>1437</v>
      </c>
      <c r="N450" s="73"/>
      <c r="O450" s="73"/>
      <c r="P450" s="72" t="s">
        <v>59</v>
      </c>
      <c r="Q450" s="72" t="s">
        <v>1438</v>
      </c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</row>
    <row r="451" ht="15.75" customHeight="1">
      <c r="A451" s="72" t="s">
        <v>1439</v>
      </c>
      <c r="B451" s="76" t="s">
        <v>1440</v>
      </c>
      <c r="C451" s="72" t="s">
        <v>84</v>
      </c>
      <c r="D451" s="72" t="s">
        <v>35</v>
      </c>
      <c r="E451" s="72" t="s">
        <v>1436</v>
      </c>
      <c r="F451" s="72" t="s">
        <v>86</v>
      </c>
      <c r="G451" s="72" t="s">
        <v>75</v>
      </c>
      <c r="H451" s="81">
        <v>45941.0</v>
      </c>
      <c r="I451" s="82">
        <v>45942.0</v>
      </c>
      <c r="J451" s="82">
        <v>46298.0</v>
      </c>
      <c r="K451" s="72">
        <v>90.0</v>
      </c>
      <c r="L451" s="72" t="s">
        <v>64</v>
      </c>
      <c r="M451" s="76" t="s">
        <v>1441</v>
      </c>
      <c r="N451" s="73"/>
      <c r="O451" s="73"/>
      <c r="P451" s="72" t="s">
        <v>42</v>
      </c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4"/>
      <c r="J452" s="74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</row>
    <row r="453" ht="15.75" customHeight="1">
      <c r="B453" s="73"/>
      <c r="C453" s="73"/>
      <c r="D453" s="73"/>
      <c r="E453" s="73"/>
      <c r="F453" s="73"/>
      <c r="G453" s="73"/>
      <c r="H453" s="73"/>
      <c r="I453" s="74"/>
      <c r="J453" s="74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</row>
    <row r="454" ht="15.75" customHeight="1">
      <c r="A454" s="153" t="s">
        <v>1442</v>
      </c>
      <c r="B454" s="76" t="s">
        <v>1443</v>
      </c>
      <c r="C454" s="72" t="s">
        <v>408</v>
      </c>
      <c r="D454" s="72" t="s">
        <v>409</v>
      </c>
      <c r="E454" s="72" t="s">
        <v>1444</v>
      </c>
      <c r="F454" s="72" t="s">
        <v>97</v>
      </c>
      <c r="G454" s="72" t="s">
        <v>91</v>
      </c>
      <c r="H454" s="72" t="s">
        <v>1445</v>
      </c>
      <c r="I454" s="85" t="s">
        <v>1445</v>
      </c>
      <c r="J454" s="74"/>
      <c r="K454" s="73"/>
      <c r="L454" s="72" t="s">
        <v>64</v>
      </c>
      <c r="M454" s="154" t="s">
        <v>1446</v>
      </c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</row>
    <row r="455" ht="15.75" customHeight="1">
      <c r="A455" s="155"/>
      <c r="B455" s="72" t="s">
        <v>1447</v>
      </c>
      <c r="C455" s="72" t="s">
        <v>218</v>
      </c>
      <c r="D455" s="72" t="s">
        <v>35</v>
      </c>
      <c r="E455" s="72" t="s">
        <v>1448</v>
      </c>
      <c r="F455" s="72" t="s">
        <v>97</v>
      </c>
      <c r="G455" s="72" t="s">
        <v>38</v>
      </c>
      <c r="I455" s="85" t="s">
        <v>1449</v>
      </c>
      <c r="J455" s="74"/>
      <c r="K455" s="73"/>
      <c r="L455" s="72" t="s">
        <v>40</v>
      </c>
      <c r="M455" s="72" t="s">
        <v>1450</v>
      </c>
      <c r="N455" s="73"/>
      <c r="O455" s="72" t="s">
        <v>41</v>
      </c>
      <c r="P455" s="72" t="s">
        <v>59</v>
      </c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</row>
    <row r="456" ht="15.75" customHeight="1">
      <c r="A456" s="76" t="s">
        <v>1451</v>
      </c>
      <c r="B456" s="72" t="s">
        <v>1452</v>
      </c>
      <c r="C456" s="72" t="s">
        <v>218</v>
      </c>
      <c r="D456" s="72" t="s">
        <v>35</v>
      </c>
      <c r="E456" s="72" t="s">
        <v>1448</v>
      </c>
      <c r="F456" s="72" t="s">
        <v>97</v>
      </c>
      <c r="G456" s="72" t="s">
        <v>38</v>
      </c>
      <c r="H456" s="73"/>
      <c r="I456" s="85" t="s">
        <v>1453</v>
      </c>
      <c r="J456" s="74"/>
      <c r="K456" s="73"/>
      <c r="L456" s="72" t="s">
        <v>40</v>
      </c>
      <c r="M456" s="72" t="s">
        <v>1454</v>
      </c>
      <c r="N456" s="73"/>
      <c r="O456" s="72" t="s">
        <v>41</v>
      </c>
      <c r="P456" s="72" t="s">
        <v>59</v>
      </c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</row>
    <row r="457" ht="15.75" customHeight="1">
      <c r="A457" s="72" t="s">
        <v>1455</v>
      </c>
      <c r="B457" s="72" t="s">
        <v>1456</v>
      </c>
      <c r="C457" s="72" t="s">
        <v>218</v>
      </c>
      <c r="D457" s="72" t="s">
        <v>35</v>
      </c>
      <c r="E457" s="72" t="s">
        <v>696</v>
      </c>
      <c r="F457" s="72" t="s">
        <v>97</v>
      </c>
      <c r="G457" s="72" t="s">
        <v>38</v>
      </c>
      <c r="H457" s="73"/>
      <c r="I457" s="156">
        <v>45669.0</v>
      </c>
      <c r="J457" s="74"/>
      <c r="K457" s="73"/>
      <c r="L457" s="72" t="s">
        <v>40</v>
      </c>
      <c r="M457" s="72" t="s">
        <v>1457</v>
      </c>
      <c r="N457" s="73"/>
      <c r="O457" s="72" t="s">
        <v>41</v>
      </c>
      <c r="P457" s="72" t="s">
        <v>59</v>
      </c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</row>
    <row r="458" ht="15.75" customHeight="1">
      <c r="A458" s="76" t="s">
        <v>1458</v>
      </c>
      <c r="B458" s="72" t="s">
        <v>1459</v>
      </c>
      <c r="C458" s="72" t="s">
        <v>218</v>
      </c>
      <c r="D458" s="72" t="s">
        <v>35</v>
      </c>
      <c r="E458" s="72" t="s">
        <v>1460</v>
      </c>
      <c r="F458" s="72" t="s">
        <v>97</v>
      </c>
      <c r="G458" s="72" t="s">
        <v>38</v>
      </c>
      <c r="H458" s="73"/>
      <c r="I458" s="85" t="s">
        <v>1461</v>
      </c>
      <c r="J458" s="74"/>
      <c r="K458" s="73"/>
      <c r="L458" s="72" t="s">
        <v>40</v>
      </c>
      <c r="M458" s="76" t="s">
        <v>1462</v>
      </c>
      <c r="N458" s="73"/>
      <c r="O458" s="72" t="s">
        <v>41</v>
      </c>
      <c r="P458" s="72" t="s">
        <v>59</v>
      </c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</row>
    <row r="459" ht="15.75" customHeight="1">
      <c r="A459" s="76" t="s">
        <v>1463</v>
      </c>
      <c r="B459" s="76" t="s">
        <v>1464</v>
      </c>
      <c r="C459" s="72" t="s">
        <v>387</v>
      </c>
      <c r="D459" s="72" t="s">
        <v>35</v>
      </c>
      <c r="E459" s="72" t="s">
        <v>1465</v>
      </c>
      <c r="F459" s="72" t="s">
        <v>37</v>
      </c>
      <c r="G459" s="72" t="s">
        <v>49</v>
      </c>
      <c r="H459" s="73"/>
      <c r="I459" s="74"/>
      <c r="J459" s="74"/>
      <c r="K459" s="73"/>
      <c r="L459" s="72" t="s">
        <v>40</v>
      </c>
      <c r="M459" s="72" t="s">
        <v>389</v>
      </c>
      <c r="N459" s="72">
        <v>6.3</v>
      </c>
      <c r="O459" s="72" t="s">
        <v>51</v>
      </c>
      <c r="P459" s="72" t="s">
        <v>42</v>
      </c>
      <c r="Q459" s="128" t="s">
        <v>1466</v>
      </c>
      <c r="R459" s="72">
        <v>9.0</v>
      </c>
      <c r="S459" s="72" t="s">
        <v>1339</v>
      </c>
      <c r="T459" s="73"/>
      <c r="U459" s="73"/>
      <c r="V459" s="73"/>
      <c r="W459" s="73"/>
      <c r="X459" s="73"/>
      <c r="Y459" s="73"/>
      <c r="Z459" s="73"/>
      <c r="AA459" s="73"/>
      <c r="AB459" s="73"/>
      <c r="AC459" s="73"/>
    </row>
    <row r="460" ht="15.75" customHeight="1">
      <c r="A460" s="76" t="s">
        <v>1467</v>
      </c>
      <c r="B460" s="76" t="s">
        <v>1468</v>
      </c>
      <c r="C460" s="72" t="s">
        <v>387</v>
      </c>
      <c r="D460" s="72" t="s">
        <v>35</v>
      </c>
      <c r="E460" s="72" t="s">
        <v>1469</v>
      </c>
      <c r="F460" s="72" t="s">
        <v>37</v>
      </c>
      <c r="G460" s="72" t="s">
        <v>49</v>
      </c>
      <c r="H460" s="73"/>
      <c r="I460" s="74"/>
      <c r="J460" s="74"/>
      <c r="K460" s="73"/>
      <c r="L460" s="72" t="s">
        <v>40</v>
      </c>
      <c r="M460" s="72" t="s">
        <v>1470</v>
      </c>
      <c r="N460" s="72">
        <v>5.8</v>
      </c>
      <c r="O460" s="72" t="s">
        <v>51</v>
      </c>
      <c r="P460" s="72" t="s">
        <v>42</v>
      </c>
      <c r="Q460" s="128" t="s">
        <v>1471</v>
      </c>
      <c r="R460" s="72">
        <v>4.0</v>
      </c>
      <c r="S460" s="72" t="s">
        <v>1339</v>
      </c>
      <c r="T460" s="73"/>
      <c r="U460" s="73"/>
      <c r="V460" s="73"/>
      <c r="W460" s="73"/>
      <c r="X460" s="73"/>
      <c r="Y460" s="73"/>
      <c r="Z460" s="73"/>
      <c r="AA460" s="73"/>
      <c r="AB460" s="73"/>
      <c r="AC460" s="73"/>
    </row>
    <row r="461" ht="15.75" customHeight="1">
      <c r="A461" s="157" t="s">
        <v>1472</v>
      </c>
      <c r="B461" s="76" t="s">
        <v>1473</v>
      </c>
      <c r="C461" s="72" t="s">
        <v>408</v>
      </c>
      <c r="D461" s="72" t="s">
        <v>409</v>
      </c>
      <c r="E461" s="72" t="s">
        <v>1474</v>
      </c>
      <c r="F461" s="72" t="s">
        <v>97</v>
      </c>
      <c r="G461" s="72" t="s">
        <v>38</v>
      </c>
      <c r="H461" s="73"/>
      <c r="I461" s="95">
        <v>46069.0</v>
      </c>
      <c r="J461" s="74"/>
      <c r="K461" s="73"/>
      <c r="L461" s="72" t="s">
        <v>64</v>
      </c>
      <c r="M461" s="76" t="s">
        <v>1475</v>
      </c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</row>
    <row r="462" ht="51.0" customHeight="1">
      <c r="A462" s="84" t="s">
        <v>1476</v>
      </c>
      <c r="B462" s="45" t="s">
        <v>1477</v>
      </c>
      <c r="C462" s="72" t="s">
        <v>408</v>
      </c>
      <c r="D462" s="72" t="s">
        <v>409</v>
      </c>
      <c r="E462" s="72" t="s">
        <v>1478</v>
      </c>
      <c r="F462" s="72" t="s">
        <v>97</v>
      </c>
      <c r="G462" s="72" t="s">
        <v>75</v>
      </c>
      <c r="H462" s="73"/>
      <c r="I462" s="74"/>
      <c r="J462" s="74"/>
      <c r="K462" s="73"/>
      <c r="L462" s="72" t="s">
        <v>64</v>
      </c>
      <c r="M462" s="76" t="s">
        <v>1479</v>
      </c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</row>
    <row r="463" ht="15.75" customHeight="1">
      <c r="A463" s="158" t="s">
        <v>1480</v>
      </c>
      <c r="B463" s="159" t="s">
        <v>1481</v>
      </c>
      <c r="C463" s="72" t="s">
        <v>408</v>
      </c>
      <c r="D463" s="72" t="s">
        <v>409</v>
      </c>
      <c r="E463" s="72" t="s">
        <v>1482</v>
      </c>
      <c r="F463" s="72" t="s">
        <v>97</v>
      </c>
      <c r="G463" s="72" t="s">
        <v>399</v>
      </c>
      <c r="H463" s="73"/>
      <c r="I463" s="74"/>
      <c r="J463" s="74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</row>
    <row r="464" ht="15.75" customHeight="1">
      <c r="A464" s="160" t="s">
        <v>1483</v>
      </c>
      <c r="B464" s="161" t="s">
        <v>1484</v>
      </c>
      <c r="C464" s="72" t="s">
        <v>218</v>
      </c>
      <c r="D464" s="72" t="s">
        <v>409</v>
      </c>
      <c r="E464" s="72" t="s">
        <v>1485</v>
      </c>
      <c r="F464" s="72" t="s">
        <v>37</v>
      </c>
      <c r="G464" s="72" t="s">
        <v>399</v>
      </c>
      <c r="H464" s="73"/>
      <c r="I464" s="74"/>
      <c r="J464" s="74"/>
      <c r="K464" s="73"/>
      <c r="L464" s="72" t="s">
        <v>40</v>
      </c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</row>
    <row r="465" ht="15.75" customHeight="1">
      <c r="A465" s="162" t="s">
        <v>1486</v>
      </c>
      <c r="B465" s="72" t="s">
        <v>885</v>
      </c>
      <c r="C465" s="72" t="s">
        <v>218</v>
      </c>
      <c r="D465" s="72" t="s">
        <v>409</v>
      </c>
      <c r="E465" s="72" t="s">
        <v>886</v>
      </c>
      <c r="F465" s="72" t="s">
        <v>37</v>
      </c>
      <c r="G465" s="72" t="s">
        <v>91</v>
      </c>
      <c r="H465" s="73"/>
      <c r="I465" s="74"/>
      <c r="J465" s="74"/>
      <c r="K465" s="73"/>
      <c r="L465" s="72" t="s">
        <v>40</v>
      </c>
      <c r="M465" s="163" t="s">
        <v>1487</v>
      </c>
      <c r="N465" s="73"/>
      <c r="O465" s="72" t="s">
        <v>41</v>
      </c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</row>
    <row r="466" ht="15.75" customHeight="1">
      <c r="A466" s="72" t="s">
        <v>1488</v>
      </c>
      <c r="B466" s="72" t="s">
        <v>1489</v>
      </c>
      <c r="C466" s="72" t="s">
        <v>218</v>
      </c>
      <c r="D466" s="72" t="s">
        <v>409</v>
      </c>
      <c r="E466" s="72" t="s">
        <v>1490</v>
      </c>
      <c r="F466" s="72" t="s">
        <v>86</v>
      </c>
      <c r="G466" s="72" t="s">
        <v>91</v>
      </c>
      <c r="H466" s="72" t="s">
        <v>1491</v>
      </c>
      <c r="I466" s="74"/>
      <c r="J466" s="74"/>
      <c r="K466" s="73"/>
      <c r="L466" s="72" t="s">
        <v>40</v>
      </c>
      <c r="M466" s="72" t="s">
        <v>1492</v>
      </c>
      <c r="N466" s="73"/>
      <c r="O466" s="72" t="s">
        <v>41</v>
      </c>
      <c r="P466" s="72" t="s">
        <v>42</v>
      </c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</row>
    <row r="467" ht="15.75" customHeight="1">
      <c r="A467" s="72" t="s">
        <v>1493</v>
      </c>
      <c r="B467" s="72" t="s">
        <v>1494</v>
      </c>
      <c r="C467" s="72" t="s">
        <v>218</v>
      </c>
      <c r="D467" s="72" t="s">
        <v>409</v>
      </c>
      <c r="E467" s="72" t="s">
        <v>1490</v>
      </c>
      <c r="F467" s="72" t="s">
        <v>86</v>
      </c>
      <c r="G467" s="72" t="s">
        <v>38</v>
      </c>
      <c r="H467" s="99">
        <v>45757.0</v>
      </c>
      <c r="I467" s="74"/>
      <c r="J467" s="74"/>
      <c r="K467" s="73"/>
      <c r="L467" s="72" t="s">
        <v>40</v>
      </c>
      <c r="M467" s="72" t="s">
        <v>1495</v>
      </c>
      <c r="N467" s="73"/>
      <c r="O467" s="72" t="s">
        <v>41</v>
      </c>
      <c r="P467" s="72" t="s">
        <v>42</v>
      </c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</row>
    <row r="468" ht="15.75" customHeight="1">
      <c r="A468" s="84" t="s">
        <v>1496</v>
      </c>
      <c r="B468" s="72" t="s">
        <v>1497</v>
      </c>
      <c r="C468" s="72" t="s">
        <v>186</v>
      </c>
      <c r="D468" s="72" t="s">
        <v>35</v>
      </c>
      <c r="E468" s="72" t="s">
        <v>1498</v>
      </c>
      <c r="F468" s="72" t="s">
        <v>37</v>
      </c>
      <c r="G468" s="72" t="s">
        <v>75</v>
      </c>
      <c r="H468" s="72" t="s">
        <v>1499</v>
      </c>
      <c r="I468" s="74"/>
      <c r="J468" s="74"/>
      <c r="K468" s="73"/>
      <c r="L468" s="72" t="s">
        <v>64</v>
      </c>
      <c r="M468" s="76" t="s">
        <v>1500</v>
      </c>
      <c r="N468" s="73"/>
      <c r="O468" s="72" t="s">
        <v>41</v>
      </c>
      <c r="P468" s="72" t="s">
        <v>42</v>
      </c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</row>
    <row r="469" ht="15.75" customHeight="1">
      <c r="A469" s="72" t="s">
        <v>1501</v>
      </c>
      <c r="B469" s="72" t="s">
        <v>1502</v>
      </c>
      <c r="C469" s="72" t="s">
        <v>84</v>
      </c>
      <c r="D469" s="72" t="s">
        <v>35</v>
      </c>
      <c r="E469" s="72" t="s">
        <v>1503</v>
      </c>
      <c r="F469" s="72" t="s">
        <v>37</v>
      </c>
      <c r="G469" s="72" t="s">
        <v>75</v>
      </c>
      <c r="H469" s="73"/>
      <c r="I469" s="74"/>
      <c r="J469" s="74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</row>
    <row r="470" ht="15.75" customHeight="1">
      <c r="A470" s="72" t="s">
        <v>1504</v>
      </c>
      <c r="B470" s="72" t="s">
        <v>1505</v>
      </c>
      <c r="C470" s="72" t="s">
        <v>84</v>
      </c>
      <c r="D470" s="72" t="s">
        <v>35</v>
      </c>
      <c r="E470" s="72" t="s">
        <v>1503</v>
      </c>
      <c r="F470" s="72" t="s">
        <v>37</v>
      </c>
      <c r="G470" s="72" t="s">
        <v>38</v>
      </c>
      <c r="H470" s="73"/>
      <c r="I470" s="74"/>
      <c r="J470" s="74"/>
      <c r="K470" s="73"/>
      <c r="L470" s="73"/>
      <c r="M470" s="84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</row>
    <row r="471" ht="15.75" customHeight="1">
      <c r="A471" s="164" t="s">
        <v>1506</v>
      </c>
      <c r="B471" s="165" t="s">
        <v>1397</v>
      </c>
      <c r="C471" s="72" t="s">
        <v>408</v>
      </c>
      <c r="D471" s="72" t="s">
        <v>409</v>
      </c>
      <c r="E471" s="72" t="s">
        <v>1397</v>
      </c>
      <c r="F471" s="72" t="s">
        <v>97</v>
      </c>
      <c r="G471" s="72" t="s">
        <v>75</v>
      </c>
      <c r="H471" s="73"/>
      <c r="I471" s="74"/>
      <c r="J471" s="85" t="s">
        <v>1182</v>
      </c>
      <c r="K471" s="73"/>
      <c r="L471" s="72" t="s">
        <v>64</v>
      </c>
      <c r="M471" s="84" t="s">
        <v>1507</v>
      </c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</row>
    <row r="472" ht="15.75" customHeight="1">
      <c r="A472" s="166" t="s">
        <v>1508</v>
      </c>
      <c r="B472" s="72" t="s">
        <v>1509</v>
      </c>
      <c r="C472" s="72" t="s">
        <v>629</v>
      </c>
      <c r="D472" s="72" t="s">
        <v>409</v>
      </c>
      <c r="E472" s="72" t="s">
        <v>1510</v>
      </c>
      <c r="F472" s="72" t="s">
        <v>37</v>
      </c>
      <c r="G472" s="72" t="s">
        <v>49</v>
      </c>
      <c r="H472" s="99">
        <v>45696.0</v>
      </c>
      <c r="I472" s="74"/>
      <c r="J472" s="85" t="s">
        <v>1511</v>
      </c>
      <c r="K472" s="73"/>
      <c r="L472" s="72" t="s">
        <v>40</v>
      </c>
      <c r="M472" s="72" t="s">
        <v>1512</v>
      </c>
      <c r="N472" s="72">
        <v>7.95</v>
      </c>
      <c r="O472" s="72" t="s">
        <v>905</v>
      </c>
      <c r="P472" s="72" t="s">
        <v>59</v>
      </c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</row>
    <row r="473" ht="15.75" customHeight="1">
      <c r="A473" s="100" t="s">
        <v>842</v>
      </c>
      <c r="B473" s="72" t="s">
        <v>843</v>
      </c>
      <c r="C473" s="72" t="s">
        <v>629</v>
      </c>
      <c r="D473" s="72" t="s">
        <v>409</v>
      </c>
      <c r="E473" s="72" t="s">
        <v>1513</v>
      </c>
      <c r="F473" s="72" t="s">
        <v>37</v>
      </c>
      <c r="G473" s="72" t="s">
        <v>49</v>
      </c>
      <c r="H473" s="72" t="s">
        <v>1511</v>
      </c>
      <c r="I473" s="74"/>
      <c r="J473" s="95">
        <v>45909.0</v>
      </c>
      <c r="K473" s="73"/>
      <c r="L473" s="72" t="s">
        <v>40</v>
      </c>
      <c r="M473" s="72" t="s">
        <v>1512</v>
      </c>
      <c r="N473" s="72">
        <v>7.95</v>
      </c>
      <c r="O473" s="72" t="s">
        <v>905</v>
      </c>
      <c r="P473" s="72" t="s">
        <v>59</v>
      </c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</row>
    <row r="474" ht="15.75" customHeight="1">
      <c r="A474" s="100" t="s">
        <v>839</v>
      </c>
      <c r="B474" s="72" t="s">
        <v>840</v>
      </c>
      <c r="C474" s="72" t="s">
        <v>629</v>
      </c>
      <c r="D474" s="72" t="s">
        <v>409</v>
      </c>
      <c r="E474" s="72" t="s">
        <v>1514</v>
      </c>
      <c r="F474" s="72" t="s">
        <v>37</v>
      </c>
      <c r="G474" s="72" t="s">
        <v>49</v>
      </c>
      <c r="H474" s="99">
        <v>45785.0</v>
      </c>
      <c r="I474" s="74"/>
      <c r="J474" s="85" t="s">
        <v>1515</v>
      </c>
      <c r="K474" s="73"/>
      <c r="L474" s="72" t="s">
        <v>40</v>
      </c>
      <c r="M474" s="72" t="s">
        <v>1512</v>
      </c>
      <c r="N474" s="72">
        <v>7.95</v>
      </c>
      <c r="O474" s="72" t="s">
        <v>905</v>
      </c>
      <c r="P474" s="72" t="s">
        <v>59</v>
      </c>
      <c r="Q474" s="127" t="s">
        <v>1516</v>
      </c>
      <c r="R474" s="72">
        <v>1.0</v>
      </c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</row>
    <row r="475" ht="15.75" customHeight="1">
      <c r="A475" s="76" t="s">
        <v>1517</v>
      </c>
      <c r="B475" s="76" t="s">
        <v>1518</v>
      </c>
      <c r="C475" s="72" t="s">
        <v>199</v>
      </c>
      <c r="D475" s="72" t="s">
        <v>35</v>
      </c>
      <c r="E475" s="167" t="s">
        <v>1519</v>
      </c>
      <c r="F475" s="72" t="s">
        <v>220</v>
      </c>
      <c r="G475" s="72" t="s">
        <v>49</v>
      </c>
      <c r="H475" s="99">
        <v>45145.0</v>
      </c>
      <c r="I475" s="74"/>
      <c r="J475" s="95">
        <v>45043.0</v>
      </c>
      <c r="K475" s="73"/>
      <c r="L475" s="72" t="s">
        <v>40</v>
      </c>
      <c r="M475" s="76" t="s">
        <v>1520</v>
      </c>
      <c r="N475" s="73"/>
      <c r="O475" s="72" t="s">
        <v>81</v>
      </c>
      <c r="P475" s="72" t="s">
        <v>42</v>
      </c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</row>
    <row r="476" ht="15.75" customHeight="1">
      <c r="A476" s="104" t="s">
        <v>1521</v>
      </c>
      <c r="B476" s="76" t="s">
        <v>1522</v>
      </c>
      <c r="C476" s="72" t="s">
        <v>199</v>
      </c>
      <c r="D476" s="72" t="s">
        <v>35</v>
      </c>
      <c r="E476" s="72" t="s">
        <v>1519</v>
      </c>
      <c r="F476" s="72" t="s">
        <v>220</v>
      </c>
      <c r="G476" s="72" t="s">
        <v>49</v>
      </c>
      <c r="H476" s="73"/>
      <c r="I476" s="74"/>
      <c r="J476" s="95">
        <v>45467.0</v>
      </c>
      <c r="K476" s="73"/>
      <c r="L476" s="72" t="s">
        <v>56</v>
      </c>
      <c r="M476" s="76" t="s">
        <v>1523</v>
      </c>
      <c r="N476" s="73"/>
      <c r="O476" s="72" t="s">
        <v>905</v>
      </c>
      <c r="P476" s="72" t="s">
        <v>42</v>
      </c>
      <c r="Q476" s="168" t="s">
        <v>1524</v>
      </c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</row>
    <row r="477" ht="15.75" customHeight="1">
      <c r="A477" s="76" t="s">
        <v>1525</v>
      </c>
      <c r="B477" s="76" t="s">
        <v>1526</v>
      </c>
      <c r="C477" s="72" t="s">
        <v>199</v>
      </c>
      <c r="D477" s="72" t="s">
        <v>35</v>
      </c>
      <c r="E477" s="72" t="s">
        <v>1527</v>
      </c>
      <c r="F477" s="72" t="s">
        <v>220</v>
      </c>
      <c r="G477" s="72" t="s">
        <v>75</v>
      </c>
      <c r="H477" s="73"/>
      <c r="I477" s="74"/>
      <c r="J477" s="74"/>
      <c r="K477" s="73"/>
      <c r="L477" s="72" t="s">
        <v>64</v>
      </c>
      <c r="M477" s="76" t="s">
        <v>1528</v>
      </c>
      <c r="N477" s="73"/>
      <c r="O477" s="72" t="s">
        <v>257</v>
      </c>
      <c r="P477" s="72" t="s">
        <v>42</v>
      </c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</row>
    <row r="478" ht="15.75" customHeight="1">
      <c r="A478" s="76" t="s">
        <v>1529</v>
      </c>
      <c r="B478" s="76" t="s">
        <v>1530</v>
      </c>
      <c r="C478" s="72" t="s">
        <v>199</v>
      </c>
      <c r="D478" s="72" t="s">
        <v>35</v>
      </c>
      <c r="E478" s="72" t="s">
        <v>1239</v>
      </c>
      <c r="F478" s="72" t="s">
        <v>220</v>
      </c>
      <c r="G478" s="72" t="s">
        <v>49</v>
      </c>
      <c r="H478" s="73"/>
      <c r="I478" s="74"/>
      <c r="J478" s="95">
        <v>45185.0</v>
      </c>
      <c r="K478" s="73"/>
      <c r="L478" s="72" t="s">
        <v>64</v>
      </c>
      <c r="M478" s="76" t="s">
        <v>1531</v>
      </c>
      <c r="N478" s="73"/>
      <c r="O478" s="72" t="s">
        <v>257</v>
      </c>
      <c r="P478" s="72" t="s">
        <v>42</v>
      </c>
      <c r="Q478" s="146" t="s">
        <v>1532</v>
      </c>
      <c r="R478" s="72">
        <v>1.0</v>
      </c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</row>
    <row r="479" ht="15.75" customHeight="1">
      <c r="A479" s="72" t="s">
        <v>1533</v>
      </c>
      <c r="B479" s="72" t="s">
        <v>1481</v>
      </c>
      <c r="C479" s="72" t="s">
        <v>408</v>
      </c>
      <c r="D479" s="72" t="s">
        <v>409</v>
      </c>
      <c r="E479" s="72" t="s">
        <v>1397</v>
      </c>
      <c r="F479" s="72" t="s">
        <v>97</v>
      </c>
      <c r="G479" s="72" t="s">
        <v>49</v>
      </c>
      <c r="H479" s="73"/>
      <c r="I479" s="74"/>
      <c r="J479" s="74"/>
      <c r="K479" s="73"/>
      <c r="L479" s="72" t="s">
        <v>64</v>
      </c>
      <c r="M479" s="76" t="s">
        <v>1534</v>
      </c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</row>
    <row r="480" ht="15.75" customHeight="1">
      <c r="A480" s="169" t="s">
        <v>1535</v>
      </c>
      <c r="B480" s="76" t="s">
        <v>1536</v>
      </c>
      <c r="C480" s="72" t="s">
        <v>84</v>
      </c>
      <c r="D480" s="72" t="s">
        <v>35</v>
      </c>
      <c r="E480" s="72" t="s">
        <v>799</v>
      </c>
      <c r="F480" s="72" t="s">
        <v>86</v>
      </c>
      <c r="G480" s="72" t="s">
        <v>49</v>
      </c>
      <c r="H480" s="73"/>
      <c r="I480" s="156">
        <v>45995.0</v>
      </c>
      <c r="J480" s="156">
        <v>46082.0</v>
      </c>
      <c r="K480" s="73"/>
      <c r="L480" s="72" t="s">
        <v>40</v>
      </c>
      <c r="M480" s="170" t="s">
        <v>1537</v>
      </c>
      <c r="N480" s="72">
        <v>2.107</v>
      </c>
      <c r="O480" s="72" t="s">
        <v>81</v>
      </c>
      <c r="P480" s="72" t="s">
        <v>42</v>
      </c>
      <c r="Q480" s="96" t="s">
        <v>1538</v>
      </c>
      <c r="R480" s="72">
        <v>0.0</v>
      </c>
      <c r="S480" s="171">
        <v>46026.0</v>
      </c>
      <c r="T480" s="73"/>
      <c r="U480" s="73"/>
      <c r="V480" s="73"/>
      <c r="W480" s="73"/>
      <c r="X480" s="73"/>
      <c r="Y480" s="73"/>
      <c r="Z480" s="73"/>
      <c r="AA480" s="73"/>
      <c r="AB480" s="73"/>
      <c r="AC480" s="73"/>
    </row>
    <row r="481" ht="27.75" customHeight="1">
      <c r="A481" s="76" t="s">
        <v>1066</v>
      </c>
      <c r="B481" s="125" t="s">
        <v>1539</v>
      </c>
      <c r="C481" s="72" t="s">
        <v>387</v>
      </c>
      <c r="D481" s="72" t="s">
        <v>35</v>
      </c>
      <c r="E481" s="72" t="s">
        <v>1540</v>
      </c>
      <c r="F481" s="72" t="s">
        <v>86</v>
      </c>
      <c r="G481" s="72" t="s">
        <v>49</v>
      </c>
      <c r="H481" s="73"/>
      <c r="I481" s="74"/>
      <c r="J481" s="74"/>
      <c r="K481" s="73"/>
      <c r="L481" s="72" t="s">
        <v>40</v>
      </c>
      <c r="M481" s="125" t="s">
        <v>1541</v>
      </c>
      <c r="N481" s="72">
        <v>4.0</v>
      </c>
      <c r="O481" s="72" t="s">
        <v>51</v>
      </c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</row>
    <row r="482" ht="15.75" customHeight="1">
      <c r="A482" s="76" t="s">
        <v>1542</v>
      </c>
      <c r="B482" s="125" t="s">
        <v>1543</v>
      </c>
      <c r="C482" s="72" t="s">
        <v>387</v>
      </c>
      <c r="D482" s="72" t="s">
        <v>35</v>
      </c>
      <c r="E482" s="72" t="s">
        <v>1540</v>
      </c>
      <c r="F482" s="72" t="s">
        <v>86</v>
      </c>
      <c r="G482" s="72" t="s">
        <v>49</v>
      </c>
      <c r="H482" s="73"/>
      <c r="I482" s="74"/>
      <c r="J482" s="74"/>
      <c r="K482" s="73"/>
      <c r="L482" s="72" t="s">
        <v>40</v>
      </c>
      <c r="M482" s="125" t="s">
        <v>1544</v>
      </c>
      <c r="N482" s="72">
        <v>4.2</v>
      </c>
      <c r="O482" s="72" t="s">
        <v>51</v>
      </c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</row>
    <row r="483" ht="15.75" customHeight="1">
      <c r="A483" s="72" t="s">
        <v>1545</v>
      </c>
      <c r="B483" s="72" t="s">
        <v>1546</v>
      </c>
      <c r="C483" s="72" t="s">
        <v>199</v>
      </c>
      <c r="D483" s="72" t="s">
        <v>35</v>
      </c>
      <c r="E483" s="73"/>
      <c r="F483" s="72" t="s">
        <v>37</v>
      </c>
      <c r="G483" s="72" t="s">
        <v>364</v>
      </c>
      <c r="H483" s="73"/>
      <c r="I483" s="95">
        <v>46358.0</v>
      </c>
      <c r="J483" s="74"/>
      <c r="K483" s="73"/>
      <c r="L483" s="72" t="s">
        <v>40</v>
      </c>
      <c r="M483" s="72" t="s">
        <v>1547</v>
      </c>
      <c r="N483" s="73"/>
      <c r="O483" s="73"/>
      <c r="P483" s="72" t="s">
        <v>42</v>
      </c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</row>
    <row r="484" ht="15.75" customHeight="1">
      <c r="A484" s="45" t="s">
        <v>1548</v>
      </c>
      <c r="B484" s="45" t="s">
        <v>1549</v>
      </c>
      <c r="C484" s="72" t="s">
        <v>186</v>
      </c>
      <c r="D484" s="72" t="s">
        <v>35</v>
      </c>
      <c r="E484" s="72" t="s">
        <v>237</v>
      </c>
      <c r="F484" s="72" t="s">
        <v>37</v>
      </c>
      <c r="G484" s="72" t="s">
        <v>38</v>
      </c>
      <c r="H484" s="72" t="s">
        <v>1550</v>
      </c>
      <c r="I484" s="74"/>
      <c r="J484" s="172">
        <v>46031.0</v>
      </c>
      <c r="K484" s="73"/>
      <c r="L484" s="72" t="s">
        <v>40</v>
      </c>
      <c r="M484" s="72" t="s">
        <v>1551</v>
      </c>
      <c r="N484" s="72">
        <v>1.4</v>
      </c>
      <c r="O484" s="72" t="s">
        <v>81</v>
      </c>
      <c r="P484" s="72" t="s">
        <v>42</v>
      </c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2" t="s">
        <v>104</v>
      </c>
      <c r="AB484" s="73"/>
      <c r="AC484" s="73"/>
    </row>
    <row r="485" ht="15.75" customHeight="1">
      <c r="A485" s="45" t="s">
        <v>1552</v>
      </c>
      <c r="B485" s="45" t="s">
        <v>1553</v>
      </c>
      <c r="C485" s="72" t="s">
        <v>186</v>
      </c>
      <c r="D485" s="72" t="s">
        <v>35</v>
      </c>
      <c r="E485" s="72" t="s">
        <v>237</v>
      </c>
      <c r="F485" s="72" t="s">
        <v>37</v>
      </c>
      <c r="G485" s="72" t="s">
        <v>38</v>
      </c>
      <c r="H485" s="72" t="s">
        <v>1554</v>
      </c>
      <c r="I485" s="74"/>
      <c r="J485" s="172">
        <v>46031.0</v>
      </c>
      <c r="K485" s="73"/>
      <c r="L485" s="72" t="s">
        <v>40</v>
      </c>
      <c r="M485" s="45" t="s">
        <v>792</v>
      </c>
      <c r="N485" s="72">
        <v>2.4</v>
      </c>
      <c r="O485" s="72" t="s">
        <v>81</v>
      </c>
      <c r="P485" s="72" t="s">
        <v>59</v>
      </c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2" t="s">
        <v>104</v>
      </c>
      <c r="AB485" s="73"/>
      <c r="AC485" s="73"/>
    </row>
    <row r="486" ht="15.75" customHeight="1">
      <c r="A486" s="45" t="s">
        <v>1555</v>
      </c>
      <c r="B486" s="45" t="s">
        <v>1556</v>
      </c>
      <c r="C486" s="72" t="s">
        <v>186</v>
      </c>
      <c r="D486" s="72" t="s">
        <v>35</v>
      </c>
      <c r="E486" s="72" t="s">
        <v>237</v>
      </c>
      <c r="F486" s="72" t="s">
        <v>37</v>
      </c>
      <c r="G486" s="72" t="s">
        <v>38</v>
      </c>
      <c r="H486" s="72" t="s">
        <v>1550</v>
      </c>
      <c r="I486" s="74"/>
      <c r="J486" s="172">
        <v>46031.0</v>
      </c>
      <c r="K486" s="73"/>
      <c r="L486" s="72" t="s">
        <v>40</v>
      </c>
      <c r="M486" s="45" t="s">
        <v>792</v>
      </c>
      <c r="N486" s="72">
        <v>2.4</v>
      </c>
      <c r="O486" s="72" t="s">
        <v>81</v>
      </c>
      <c r="P486" s="72" t="s">
        <v>59</v>
      </c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2" t="s">
        <v>104</v>
      </c>
      <c r="AB486" s="73"/>
      <c r="AC486" s="73"/>
    </row>
    <row r="487" ht="15.75" customHeight="1">
      <c r="A487" s="173" t="s">
        <v>1557</v>
      </c>
      <c r="B487" s="173" t="s">
        <v>1558</v>
      </c>
      <c r="C487" s="72" t="s">
        <v>218</v>
      </c>
      <c r="D487" s="72" t="s">
        <v>409</v>
      </c>
      <c r="E487" s="72" t="s">
        <v>313</v>
      </c>
      <c r="F487" s="72" t="s">
        <v>86</v>
      </c>
      <c r="G487" s="72" t="s">
        <v>49</v>
      </c>
      <c r="H487" s="72" t="s">
        <v>1559</v>
      </c>
      <c r="I487" s="85" t="s">
        <v>1560</v>
      </c>
      <c r="J487" s="85" t="s">
        <v>1561</v>
      </c>
      <c r="K487" s="73"/>
      <c r="L487" s="72" t="s">
        <v>40</v>
      </c>
      <c r="M487" s="173" t="s">
        <v>1562</v>
      </c>
      <c r="N487" s="72">
        <v>3.712</v>
      </c>
      <c r="O487" s="72" t="s">
        <v>41</v>
      </c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</row>
    <row r="488" ht="15.75" customHeight="1">
      <c r="A488" s="173" t="s">
        <v>1563</v>
      </c>
      <c r="B488" s="173" t="s">
        <v>1558</v>
      </c>
      <c r="C488" s="72" t="s">
        <v>218</v>
      </c>
      <c r="D488" s="72" t="s">
        <v>409</v>
      </c>
      <c r="E488" s="72" t="s">
        <v>313</v>
      </c>
      <c r="F488" s="72" t="s">
        <v>86</v>
      </c>
      <c r="G488" s="72" t="s">
        <v>399</v>
      </c>
      <c r="H488" s="73"/>
      <c r="I488" s="74"/>
      <c r="J488" s="74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</row>
    <row r="489" ht="15.75" customHeight="1">
      <c r="A489" s="45" t="s">
        <v>788</v>
      </c>
      <c r="B489" s="72" t="s">
        <v>1564</v>
      </c>
      <c r="C489" s="72" t="s">
        <v>84</v>
      </c>
      <c r="D489" s="72" t="s">
        <v>35</v>
      </c>
      <c r="E489" s="72" t="s">
        <v>379</v>
      </c>
      <c r="F489" s="73"/>
      <c r="G489" s="72" t="s">
        <v>75</v>
      </c>
      <c r="H489" s="73"/>
      <c r="I489" s="82">
        <v>45940.0</v>
      </c>
      <c r="J489" s="74"/>
      <c r="K489" s="73"/>
      <c r="L489" s="72" t="s">
        <v>64</v>
      </c>
      <c r="M489" s="174" t="s">
        <v>1565</v>
      </c>
      <c r="N489" s="73"/>
      <c r="O489" s="73"/>
      <c r="P489" s="72" t="s">
        <v>42</v>
      </c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</row>
    <row r="490" ht="15.75" customHeight="1">
      <c r="A490" s="175" t="s">
        <v>1566</v>
      </c>
      <c r="B490" s="72" t="s">
        <v>1567</v>
      </c>
      <c r="C490" s="72" t="s">
        <v>84</v>
      </c>
      <c r="D490" s="72" t="s">
        <v>35</v>
      </c>
      <c r="E490" s="72" t="s">
        <v>379</v>
      </c>
      <c r="F490" s="73"/>
      <c r="G490" s="72" t="s">
        <v>38</v>
      </c>
      <c r="H490" s="73"/>
      <c r="I490" s="85" t="s">
        <v>1568</v>
      </c>
      <c r="J490" s="74"/>
      <c r="K490" s="73"/>
      <c r="L490" s="72" t="s">
        <v>40</v>
      </c>
      <c r="M490" s="72" t="s">
        <v>1221</v>
      </c>
      <c r="N490" s="73"/>
      <c r="O490" s="72" t="s">
        <v>81</v>
      </c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</row>
    <row r="491" ht="15.75" customHeight="1">
      <c r="A491" s="72" t="s">
        <v>1569</v>
      </c>
      <c r="B491" s="72" t="s">
        <v>1570</v>
      </c>
      <c r="C491" s="72" t="s">
        <v>84</v>
      </c>
      <c r="D491" s="72" t="s">
        <v>35</v>
      </c>
      <c r="E491" s="72" t="s">
        <v>379</v>
      </c>
      <c r="F491" s="73"/>
      <c r="G491" s="72" t="s">
        <v>38</v>
      </c>
      <c r="H491" s="73"/>
      <c r="I491" s="85" t="s">
        <v>1571</v>
      </c>
      <c r="J491" s="74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</row>
    <row r="492" ht="15.75" customHeight="1">
      <c r="A492" s="72" t="s">
        <v>1572</v>
      </c>
      <c r="B492" s="72" t="s">
        <v>1573</v>
      </c>
      <c r="C492" s="72" t="s">
        <v>416</v>
      </c>
      <c r="D492" s="72" t="s">
        <v>409</v>
      </c>
      <c r="E492" s="72" t="s">
        <v>597</v>
      </c>
      <c r="F492" s="72" t="s">
        <v>86</v>
      </c>
      <c r="G492" s="72" t="s">
        <v>75</v>
      </c>
      <c r="H492" s="73"/>
      <c r="I492" s="85" t="s">
        <v>1574</v>
      </c>
      <c r="J492" s="85" t="s">
        <v>1575</v>
      </c>
      <c r="K492" s="73"/>
      <c r="L492" s="72" t="s">
        <v>64</v>
      </c>
      <c r="M492" s="176" t="s">
        <v>1576</v>
      </c>
      <c r="N492" s="73"/>
      <c r="O492" s="73"/>
      <c r="P492" s="72" t="s">
        <v>42</v>
      </c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</row>
    <row r="493" ht="15.75" customHeight="1">
      <c r="A493" s="72"/>
      <c r="B493" s="72"/>
      <c r="C493" s="73"/>
      <c r="D493" s="73"/>
      <c r="E493" s="73"/>
      <c r="F493" s="73"/>
      <c r="G493" s="73"/>
      <c r="H493" s="73"/>
      <c r="I493" s="74"/>
      <c r="J493" s="74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</row>
    <row r="494" ht="15.75" customHeight="1">
      <c r="A494" s="72" t="s">
        <v>1577</v>
      </c>
      <c r="B494" s="72" t="s">
        <v>1578</v>
      </c>
      <c r="C494" s="72" t="s">
        <v>416</v>
      </c>
      <c r="D494" s="72" t="s">
        <v>409</v>
      </c>
      <c r="E494" s="72" t="s">
        <v>597</v>
      </c>
      <c r="F494" s="72" t="s">
        <v>86</v>
      </c>
      <c r="G494" s="72" t="s">
        <v>91</v>
      </c>
      <c r="H494" s="72" t="s">
        <v>1579</v>
      </c>
      <c r="I494" s="74"/>
      <c r="J494" s="74"/>
      <c r="K494" s="73"/>
      <c r="L494" s="72" t="s">
        <v>64</v>
      </c>
      <c r="M494" s="72" t="s">
        <v>1580</v>
      </c>
      <c r="N494" s="73"/>
      <c r="O494" s="73"/>
      <c r="P494" s="72" t="s">
        <v>42</v>
      </c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</row>
    <row r="495" ht="18.75" customHeight="1">
      <c r="A495" s="125" t="s">
        <v>1581</v>
      </c>
      <c r="B495" s="125" t="s">
        <v>1582</v>
      </c>
      <c r="C495" s="72" t="s">
        <v>387</v>
      </c>
      <c r="D495" s="72" t="s">
        <v>35</v>
      </c>
      <c r="E495" s="72" t="s">
        <v>1583</v>
      </c>
      <c r="F495" s="72" t="s">
        <v>37</v>
      </c>
      <c r="G495" s="72" t="s">
        <v>75</v>
      </c>
      <c r="H495" s="72"/>
      <c r="I495" s="74"/>
      <c r="J495" s="85" t="s">
        <v>1584</v>
      </c>
      <c r="K495" s="73"/>
      <c r="L495" s="72" t="s">
        <v>40</v>
      </c>
      <c r="M495" s="73"/>
      <c r="N495" s="72">
        <v>5.4</v>
      </c>
      <c r="O495" s="72" t="s">
        <v>51</v>
      </c>
      <c r="P495" s="72" t="s">
        <v>42</v>
      </c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</row>
    <row r="496" ht="21.0" customHeight="1">
      <c r="A496" s="177" t="s">
        <v>1087</v>
      </c>
      <c r="B496" s="125" t="s">
        <v>1585</v>
      </c>
      <c r="C496" s="72" t="s">
        <v>387</v>
      </c>
      <c r="D496" s="72" t="s">
        <v>35</v>
      </c>
      <c r="E496" s="72" t="s">
        <v>1586</v>
      </c>
      <c r="F496" s="72" t="s">
        <v>37</v>
      </c>
      <c r="G496" s="72" t="s">
        <v>38</v>
      </c>
      <c r="H496" s="72" t="s">
        <v>1587</v>
      </c>
      <c r="I496" s="74"/>
      <c r="J496" s="74"/>
      <c r="K496" s="73"/>
      <c r="L496" s="72" t="s">
        <v>40</v>
      </c>
      <c r="M496" s="73"/>
      <c r="N496" s="73"/>
      <c r="O496" s="72" t="s">
        <v>51</v>
      </c>
      <c r="P496" s="72" t="s">
        <v>42</v>
      </c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</row>
    <row r="497" ht="15.75" customHeight="1">
      <c r="A497" s="125" t="s">
        <v>1588</v>
      </c>
      <c r="B497" s="125" t="s">
        <v>1589</v>
      </c>
      <c r="C497" s="72" t="s">
        <v>387</v>
      </c>
      <c r="D497" s="72" t="s">
        <v>35</v>
      </c>
      <c r="E497" s="129" t="s">
        <v>1590</v>
      </c>
      <c r="F497" s="72" t="s">
        <v>37</v>
      </c>
      <c r="G497" s="72" t="s">
        <v>38</v>
      </c>
      <c r="H497" s="72" t="s">
        <v>1591</v>
      </c>
      <c r="I497" s="74"/>
      <c r="J497" s="74"/>
      <c r="K497" s="73"/>
      <c r="L497" s="72" t="s">
        <v>40</v>
      </c>
      <c r="M497" s="73"/>
      <c r="N497" s="73"/>
      <c r="O497" s="72" t="s">
        <v>51</v>
      </c>
      <c r="P497" s="72" t="s">
        <v>42</v>
      </c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</row>
    <row r="498" ht="15.75" customHeight="1">
      <c r="A498" s="178" t="s">
        <v>1592</v>
      </c>
      <c r="B498" s="72" t="s">
        <v>1593</v>
      </c>
      <c r="C498" s="72" t="s">
        <v>34</v>
      </c>
      <c r="D498" s="72" t="s">
        <v>35</v>
      </c>
      <c r="E498" s="72" t="s">
        <v>117</v>
      </c>
      <c r="F498" s="72" t="s">
        <v>37</v>
      </c>
      <c r="G498" s="72" t="s">
        <v>49</v>
      </c>
      <c r="H498" s="45" t="s">
        <v>1594</v>
      </c>
      <c r="I498" s="74"/>
      <c r="J498" s="95">
        <v>46297.0</v>
      </c>
      <c r="K498" s="73"/>
      <c r="L498" s="72" t="s">
        <v>56</v>
      </c>
      <c r="M498" s="72" t="s">
        <v>1595</v>
      </c>
      <c r="N498" s="73"/>
      <c r="O498" s="72" t="s">
        <v>58</v>
      </c>
      <c r="P498" s="73"/>
      <c r="Q498" s="80" t="s">
        <v>1596</v>
      </c>
      <c r="R498" s="73"/>
      <c r="S498" s="73"/>
      <c r="T498" s="73"/>
      <c r="U498" s="73"/>
      <c r="V498" s="73"/>
      <c r="W498" s="73"/>
      <c r="X498" s="72" t="s">
        <v>45</v>
      </c>
      <c r="Y498" s="73"/>
      <c r="Z498" s="73"/>
      <c r="AA498" s="72" t="s">
        <v>104</v>
      </c>
      <c r="AB498" s="73"/>
      <c r="AC498" s="73"/>
    </row>
    <row r="499" ht="15.75" customHeight="1">
      <c r="A499" s="72" t="s">
        <v>1597</v>
      </c>
      <c r="B499" s="72" t="s">
        <v>1598</v>
      </c>
      <c r="C499" s="72" t="s">
        <v>84</v>
      </c>
      <c r="D499" s="72" t="s">
        <v>35</v>
      </c>
      <c r="E499" s="72" t="s">
        <v>1599</v>
      </c>
      <c r="F499" s="72" t="s">
        <v>37</v>
      </c>
      <c r="G499" s="72" t="s">
        <v>38</v>
      </c>
      <c r="H499" s="72"/>
      <c r="I499" s="85" t="s">
        <v>1600</v>
      </c>
      <c r="J499" s="85" t="s">
        <v>1601</v>
      </c>
      <c r="K499" s="73"/>
      <c r="L499" s="72" t="s">
        <v>40</v>
      </c>
      <c r="M499" s="72" t="s">
        <v>1602</v>
      </c>
      <c r="N499" s="73"/>
      <c r="O499" s="72" t="s">
        <v>41</v>
      </c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</row>
    <row r="500" ht="15.75" customHeight="1">
      <c r="A500" s="72" t="s">
        <v>1603</v>
      </c>
      <c r="B500" s="72" t="s">
        <v>1604</v>
      </c>
      <c r="C500" s="72" t="s">
        <v>84</v>
      </c>
      <c r="D500" s="72" t="s">
        <v>35</v>
      </c>
      <c r="E500" s="72" t="s">
        <v>1605</v>
      </c>
      <c r="F500" s="72" t="s">
        <v>37</v>
      </c>
      <c r="G500" s="72" t="s">
        <v>399</v>
      </c>
      <c r="H500" s="72" t="s">
        <v>1232</v>
      </c>
      <c r="I500" s="74"/>
      <c r="J500" s="74"/>
      <c r="K500" s="73"/>
      <c r="L500" s="72" t="s">
        <v>64</v>
      </c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</row>
    <row r="501" ht="15.75" customHeight="1">
      <c r="A501" s="72" t="s">
        <v>1606</v>
      </c>
      <c r="B501" s="72" t="s">
        <v>1604</v>
      </c>
      <c r="C501" s="72" t="s">
        <v>84</v>
      </c>
      <c r="D501" s="72" t="s">
        <v>35</v>
      </c>
      <c r="E501" s="72" t="s">
        <v>1605</v>
      </c>
      <c r="F501" s="72" t="s">
        <v>37</v>
      </c>
      <c r="G501" s="72" t="s">
        <v>399</v>
      </c>
      <c r="H501" s="72" t="s">
        <v>1600</v>
      </c>
      <c r="I501" s="74"/>
      <c r="J501" s="74"/>
      <c r="K501" s="73"/>
      <c r="L501" s="72" t="s">
        <v>64</v>
      </c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</row>
    <row r="502" ht="30.0" customHeight="1">
      <c r="A502" s="76" t="s">
        <v>1607</v>
      </c>
      <c r="B502" s="72" t="s">
        <v>1608</v>
      </c>
      <c r="C502" s="72" t="s">
        <v>34</v>
      </c>
      <c r="D502" s="72" t="s">
        <v>35</v>
      </c>
      <c r="E502" s="72" t="s">
        <v>1609</v>
      </c>
      <c r="F502" s="72" t="s">
        <v>37</v>
      </c>
      <c r="G502" s="72" t="s">
        <v>75</v>
      </c>
      <c r="H502" s="72" t="s">
        <v>1610</v>
      </c>
      <c r="I502" s="95">
        <v>46299.0</v>
      </c>
      <c r="J502" s="95">
        <v>46298.0</v>
      </c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</row>
    <row r="503" ht="15.75" customHeight="1">
      <c r="A503" s="76" t="s">
        <v>1611</v>
      </c>
      <c r="B503" s="76" t="s">
        <v>1612</v>
      </c>
      <c r="C503" s="72" t="s">
        <v>199</v>
      </c>
      <c r="D503" s="72" t="s">
        <v>35</v>
      </c>
      <c r="E503" s="72" t="s">
        <v>1110</v>
      </c>
      <c r="F503" s="72" t="s">
        <v>86</v>
      </c>
      <c r="G503" s="72" t="s">
        <v>75</v>
      </c>
      <c r="H503" s="73"/>
      <c r="I503" s="85" t="s">
        <v>1613</v>
      </c>
      <c r="J503" s="85" t="s">
        <v>1614</v>
      </c>
      <c r="K503" s="73"/>
      <c r="L503" s="72" t="s">
        <v>56</v>
      </c>
      <c r="M503" s="76" t="s">
        <v>1293</v>
      </c>
      <c r="N503" s="73"/>
      <c r="O503" s="72" t="s">
        <v>58</v>
      </c>
      <c r="P503" s="73"/>
      <c r="Q503" s="72" t="s">
        <v>1615</v>
      </c>
      <c r="R503" s="73"/>
      <c r="S503" s="73"/>
      <c r="T503" s="73"/>
      <c r="U503" s="73"/>
      <c r="V503" s="76" t="s">
        <v>1616</v>
      </c>
      <c r="W503" s="73"/>
      <c r="X503" s="73"/>
      <c r="Y503" s="73"/>
      <c r="Z503" s="73"/>
      <c r="AA503" s="73"/>
      <c r="AB503" s="73"/>
      <c r="AC503" s="73"/>
    </row>
    <row r="504" ht="15.75" customHeight="1">
      <c r="A504" s="72" t="s">
        <v>1617</v>
      </c>
      <c r="B504" s="72" t="s">
        <v>1618</v>
      </c>
      <c r="C504" s="72" t="s">
        <v>629</v>
      </c>
      <c r="D504" s="72" t="s">
        <v>409</v>
      </c>
      <c r="E504" s="72" t="s">
        <v>1619</v>
      </c>
      <c r="F504" s="72" t="s">
        <v>220</v>
      </c>
      <c r="G504" s="72" t="s">
        <v>49</v>
      </c>
      <c r="H504" s="73"/>
      <c r="I504" s="74"/>
      <c r="J504" s="74"/>
      <c r="K504" s="73"/>
      <c r="L504" s="72" t="s">
        <v>40</v>
      </c>
      <c r="M504" s="72" t="s">
        <v>1620</v>
      </c>
      <c r="N504" s="72">
        <v>8.311</v>
      </c>
      <c r="O504" s="72" t="s">
        <v>905</v>
      </c>
      <c r="P504" s="73"/>
      <c r="Q504" s="72" t="s">
        <v>1621</v>
      </c>
      <c r="R504" s="72"/>
      <c r="S504" s="179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</row>
    <row r="505" ht="15.75" customHeight="1">
      <c r="A505" s="56" t="s">
        <v>1622</v>
      </c>
      <c r="B505" s="111" t="s">
        <v>1623</v>
      </c>
      <c r="C505" s="72" t="s">
        <v>34</v>
      </c>
      <c r="D505" s="72" t="s">
        <v>35</v>
      </c>
      <c r="E505" s="72" t="s">
        <v>1624</v>
      </c>
      <c r="F505" s="72" t="s">
        <v>37</v>
      </c>
      <c r="G505" s="72" t="s">
        <v>49</v>
      </c>
      <c r="H505" s="180">
        <v>45962.0</v>
      </c>
      <c r="I505" s="74"/>
      <c r="J505" s="74"/>
      <c r="K505" s="73"/>
      <c r="L505" s="72" t="s">
        <v>40</v>
      </c>
      <c r="M505" s="111" t="s">
        <v>1625</v>
      </c>
      <c r="N505" s="73"/>
      <c r="O505" s="72" t="s">
        <v>81</v>
      </c>
      <c r="P505" s="72" t="s">
        <v>1626</v>
      </c>
      <c r="Q505" s="96" t="s">
        <v>1627</v>
      </c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</row>
    <row r="506" ht="15.75" customHeight="1">
      <c r="A506" s="72" t="s">
        <v>1628</v>
      </c>
      <c r="B506" s="72" t="s">
        <v>1629</v>
      </c>
      <c r="C506" s="72" t="s">
        <v>629</v>
      </c>
      <c r="D506" s="72" t="s">
        <v>409</v>
      </c>
      <c r="E506" s="72" t="s">
        <v>1630</v>
      </c>
      <c r="F506" s="72" t="s">
        <v>220</v>
      </c>
      <c r="G506" s="72" t="s">
        <v>49</v>
      </c>
      <c r="H506" s="73"/>
      <c r="I506" s="74"/>
      <c r="J506" s="74"/>
      <c r="K506" s="73"/>
      <c r="L506" s="72" t="s">
        <v>40</v>
      </c>
      <c r="M506" s="72" t="s">
        <v>1631</v>
      </c>
      <c r="N506" s="72">
        <v>8.311</v>
      </c>
      <c r="O506" s="72" t="s">
        <v>905</v>
      </c>
      <c r="P506" s="72"/>
      <c r="Q506" s="72" t="s">
        <v>1632</v>
      </c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</row>
    <row r="507" ht="15.75" customHeight="1">
      <c r="A507" s="76" t="s">
        <v>1633</v>
      </c>
      <c r="B507" s="72" t="s">
        <v>1634</v>
      </c>
      <c r="C507" s="72" t="s">
        <v>416</v>
      </c>
      <c r="D507" s="72" t="s">
        <v>409</v>
      </c>
      <c r="E507" s="72" t="s">
        <v>1635</v>
      </c>
      <c r="F507" s="72" t="s">
        <v>86</v>
      </c>
      <c r="G507" s="72" t="s">
        <v>1636</v>
      </c>
      <c r="H507" s="73"/>
      <c r="I507" s="85" t="s">
        <v>1637</v>
      </c>
      <c r="J507" s="95">
        <v>46298.0</v>
      </c>
      <c r="K507" s="73"/>
      <c r="L507" s="72" t="s">
        <v>40</v>
      </c>
      <c r="M507" s="72" t="s">
        <v>1638</v>
      </c>
      <c r="N507" s="73"/>
      <c r="O507" s="72" t="s">
        <v>41</v>
      </c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</row>
    <row r="508" ht="15.75" customHeight="1">
      <c r="A508" s="84" t="s">
        <v>1639</v>
      </c>
      <c r="B508" s="84" t="s">
        <v>1640</v>
      </c>
      <c r="C508" s="72" t="s">
        <v>408</v>
      </c>
      <c r="D508" s="72" t="s">
        <v>409</v>
      </c>
      <c r="E508" s="72" t="s">
        <v>1641</v>
      </c>
      <c r="F508" s="72" t="s">
        <v>97</v>
      </c>
      <c r="G508" s="72" t="s">
        <v>38</v>
      </c>
      <c r="H508" s="99">
        <v>45811.0</v>
      </c>
      <c r="I508" s="74"/>
      <c r="J508" s="74"/>
      <c r="K508" s="73"/>
      <c r="L508" s="72" t="s">
        <v>40</v>
      </c>
      <c r="M508" s="84" t="s">
        <v>1642</v>
      </c>
      <c r="N508" s="73"/>
      <c r="O508" s="72" t="s">
        <v>41</v>
      </c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</row>
    <row r="509" ht="15.75" customHeight="1">
      <c r="A509" s="76" t="s">
        <v>1643</v>
      </c>
      <c r="B509" s="72" t="s">
        <v>1644</v>
      </c>
      <c r="C509" s="72" t="s">
        <v>416</v>
      </c>
      <c r="D509" s="72" t="s">
        <v>409</v>
      </c>
      <c r="E509" s="72" t="s">
        <v>584</v>
      </c>
      <c r="F509" s="72" t="s">
        <v>37</v>
      </c>
      <c r="G509" s="72" t="s">
        <v>91</v>
      </c>
      <c r="H509" s="99">
        <v>45783.0</v>
      </c>
      <c r="I509" s="85" t="s">
        <v>1240</v>
      </c>
      <c r="J509" s="74"/>
      <c r="K509" s="73"/>
      <c r="L509" s="72" t="s">
        <v>40</v>
      </c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</row>
    <row r="510" ht="15.75" customHeight="1">
      <c r="A510" s="84" t="s">
        <v>1645</v>
      </c>
      <c r="B510" s="84" t="s">
        <v>1640</v>
      </c>
      <c r="C510" s="72" t="s">
        <v>408</v>
      </c>
      <c r="D510" s="72" t="s">
        <v>409</v>
      </c>
      <c r="E510" s="72" t="s">
        <v>1646</v>
      </c>
      <c r="F510" s="72" t="s">
        <v>97</v>
      </c>
      <c r="G510" s="72" t="s">
        <v>49</v>
      </c>
      <c r="H510" s="72" t="s">
        <v>1647</v>
      </c>
      <c r="I510" s="74"/>
      <c r="J510" s="74"/>
      <c r="K510" s="73"/>
      <c r="L510" s="72" t="s">
        <v>40</v>
      </c>
      <c r="M510" s="45" t="s">
        <v>1648</v>
      </c>
      <c r="N510" s="73"/>
      <c r="O510" s="72" t="s">
        <v>81</v>
      </c>
      <c r="P510" s="72" t="s">
        <v>42</v>
      </c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</row>
    <row r="511" ht="15.75" customHeight="1">
      <c r="A511" s="181" t="s">
        <v>1649</v>
      </c>
      <c r="B511" s="182" t="s">
        <v>1650</v>
      </c>
      <c r="C511" s="72" t="s">
        <v>408</v>
      </c>
      <c r="D511" s="72" t="s">
        <v>409</v>
      </c>
      <c r="E511" s="182" t="s">
        <v>1651</v>
      </c>
      <c r="F511" s="72" t="s">
        <v>97</v>
      </c>
      <c r="G511" s="72" t="s">
        <v>38</v>
      </c>
      <c r="H511" s="72" t="s">
        <v>1652</v>
      </c>
      <c r="I511" s="74"/>
      <c r="J511" s="74"/>
      <c r="K511" s="73"/>
      <c r="L511" s="72" t="s">
        <v>64</v>
      </c>
      <c r="M511" s="181" t="s">
        <v>1653</v>
      </c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</row>
    <row r="512" ht="40.5" customHeight="1">
      <c r="A512" s="27" t="s">
        <v>756</v>
      </c>
      <c r="B512" s="72" t="s">
        <v>1654</v>
      </c>
      <c r="C512" s="72" t="s">
        <v>199</v>
      </c>
      <c r="D512" s="72" t="s">
        <v>35</v>
      </c>
      <c r="E512" s="72" t="s">
        <v>1655</v>
      </c>
      <c r="F512" s="72" t="s">
        <v>37</v>
      </c>
      <c r="G512" s="72" t="s">
        <v>38</v>
      </c>
      <c r="I512" s="85" t="s">
        <v>1568</v>
      </c>
      <c r="J512" s="74"/>
      <c r="K512" s="73"/>
      <c r="L512" s="72" t="s">
        <v>40</v>
      </c>
      <c r="M512" s="84" t="s">
        <v>1656</v>
      </c>
      <c r="N512" s="73"/>
      <c r="O512" s="72" t="s">
        <v>41</v>
      </c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</row>
    <row r="513" ht="15.75" customHeight="1">
      <c r="A513" s="72" t="s">
        <v>1657</v>
      </c>
      <c r="B513" s="72" t="s">
        <v>1658</v>
      </c>
      <c r="C513" s="72" t="s">
        <v>199</v>
      </c>
      <c r="D513" s="72" t="s">
        <v>35</v>
      </c>
      <c r="E513" s="72" t="s">
        <v>1659</v>
      </c>
      <c r="F513" s="72" t="s">
        <v>37</v>
      </c>
      <c r="G513" s="72" t="s">
        <v>399</v>
      </c>
      <c r="H513" s="73"/>
      <c r="I513" s="74"/>
      <c r="J513" s="74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</row>
    <row r="514" ht="15.75" customHeight="1">
      <c r="A514" s="76" t="s">
        <v>1660</v>
      </c>
      <c r="B514" s="72" t="s">
        <v>1661</v>
      </c>
      <c r="C514" s="72" t="s">
        <v>199</v>
      </c>
      <c r="D514" s="72" t="s">
        <v>35</v>
      </c>
      <c r="E514" s="72" t="s">
        <v>1655</v>
      </c>
      <c r="F514" s="72" t="s">
        <v>37</v>
      </c>
      <c r="G514" s="72" t="s">
        <v>399</v>
      </c>
      <c r="H514" s="73"/>
      <c r="I514" s="74"/>
      <c r="J514" s="74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</row>
    <row r="515" ht="15.75" customHeight="1">
      <c r="A515" s="76" t="s">
        <v>1662</v>
      </c>
      <c r="B515" s="72" t="s">
        <v>1661</v>
      </c>
      <c r="C515" s="72" t="s">
        <v>199</v>
      </c>
      <c r="D515" s="72" t="s">
        <v>35</v>
      </c>
      <c r="E515" s="72" t="s">
        <v>1655</v>
      </c>
      <c r="F515" s="72" t="s">
        <v>37</v>
      </c>
      <c r="G515" s="72" t="s">
        <v>399</v>
      </c>
      <c r="H515" s="73"/>
      <c r="I515" s="74"/>
      <c r="J515" s="74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</row>
    <row r="516" ht="15.75" customHeight="1">
      <c r="A516" s="56" t="s">
        <v>1663</v>
      </c>
      <c r="B516" s="111" t="s">
        <v>1664</v>
      </c>
      <c r="C516" s="72" t="s">
        <v>34</v>
      </c>
      <c r="D516" s="72" t="s">
        <v>35</v>
      </c>
      <c r="E516" s="72" t="s">
        <v>1624</v>
      </c>
      <c r="F516" s="72" t="s">
        <v>37</v>
      </c>
      <c r="G516" s="72" t="s">
        <v>75</v>
      </c>
      <c r="H516" s="180">
        <v>45870.0</v>
      </c>
      <c r="I516" s="74"/>
      <c r="J516" s="74"/>
      <c r="K516" s="73"/>
      <c r="L516" s="72" t="s">
        <v>40</v>
      </c>
      <c r="M516" s="111" t="s">
        <v>1665</v>
      </c>
      <c r="N516" s="73"/>
      <c r="O516" s="72" t="s">
        <v>58</v>
      </c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</row>
    <row r="517" ht="15.75" customHeight="1">
      <c r="A517" s="56" t="s">
        <v>1666</v>
      </c>
      <c r="B517" s="111" t="s">
        <v>1667</v>
      </c>
      <c r="C517" s="72" t="s">
        <v>34</v>
      </c>
      <c r="D517" s="72" t="s">
        <v>35</v>
      </c>
      <c r="E517" s="72" t="s">
        <v>1624</v>
      </c>
      <c r="F517" s="72" t="s">
        <v>37</v>
      </c>
      <c r="G517" s="72" t="s">
        <v>75</v>
      </c>
      <c r="H517" s="180">
        <v>45809.0</v>
      </c>
      <c r="I517" s="74"/>
      <c r="J517" s="74"/>
      <c r="K517" s="73"/>
      <c r="L517" s="72" t="s">
        <v>40</v>
      </c>
      <c r="M517" s="111" t="s">
        <v>1665</v>
      </c>
      <c r="N517" s="73"/>
      <c r="O517" s="72" t="s">
        <v>58</v>
      </c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</row>
    <row r="518" ht="15.75" customHeight="1">
      <c r="A518" s="72" t="s">
        <v>1668</v>
      </c>
      <c r="B518" s="72" t="s">
        <v>1669</v>
      </c>
      <c r="C518" s="72" t="s">
        <v>218</v>
      </c>
      <c r="D518" s="72" t="s">
        <v>35</v>
      </c>
      <c r="E518" s="72" t="s">
        <v>224</v>
      </c>
      <c r="F518" s="72" t="s">
        <v>220</v>
      </c>
      <c r="G518" s="72" t="s">
        <v>75</v>
      </c>
      <c r="H518" s="81">
        <v>45660.0</v>
      </c>
      <c r="I518" s="85" t="s">
        <v>1670</v>
      </c>
      <c r="J518" s="82">
        <v>46144.0</v>
      </c>
      <c r="K518" s="73"/>
      <c r="L518" s="72" t="s">
        <v>40</v>
      </c>
      <c r="M518" s="72" t="s">
        <v>1671</v>
      </c>
      <c r="N518" s="73"/>
      <c r="O518" s="72" t="s">
        <v>58</v>
      </c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</row>
    <row r="519" ht="15.75" customHeight="1">
      <c r="A519" s="56" t="s">
        <v>1672</v>
      </c>
      <c r="B519" s="111" t="s">
        <v>1673</v>
      </c>
      <c r="C519" s="72" t="s">
        <v>34</v>
      </c>
      <c r="D519" s="72" t="s">
        <v>35</v>
      </c>
      <c r="E519" s="72" t="s">
        <v>1624</v>
      </c>
      <c r="F519" s="72" t="s">
        <v>37</v>
      </c>
      <c r="G519" s="72" t="s">
        <v>75</v>
      </c>
      <c r="H519" s="183">
        <v>45656.0</v>
      </c>
      <c r="I519" s="74"/>
      <c r="J519" s="74"/>
      <c r="K519" s="73"/>
      <c r="L519" s="72" t="s">
        <v>40</v>
      </c>
      <c r="M519" s="72" t="s">
        <v>1674</v>
      </c>
      <c r="N519" s="73"/>
      <c r="O519" s="72" t="s">
        <v>41</v>
      </c>
      <c r="P519" s="73"/>
      <c r="Q519" s="96" t="s">
        <v>1675</v>
      </c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</row>
    <row r="520" ht="15.75" customHeight="1">
      <c r="A520" s="72" t="s">
        <v>1676</v>
      </c>
      <c r="B520" s="72" t="s">
        <v>1677</v>
      </c>
      <c r="C520" s="72" t="s">
        <v>218</v>
      </c>
      <c r="D520" s="72" t="s">
        <v>35</v>
      </c>
      <c r="E520" s="72" t="s">
        <v>224</v>
      </c>
      <c r="F520" s="72" t="s">
        <v>220</v>
      </c>
      <c r="G520" s="72" t="s">
        <v>75</v>
      </c>
      <c r="H520" s="81">
        <v>45302.0</v>
      </c>
      <c r="I520" s="82">
        <v>45663.0</v>
      </c>
      <c r="J520" s="82">
        <v>46235.0</v>
      </c>
      <c r="K520" s="73"/>
      <c r="L520" s="72" t="s">
        <v>40</v>
      </c>
      <c r="M520" s="72" t="s">
        <v>1678</v>
      </c>
      <c r="N520" s="73"/>
      <c r="O520" s="72" t="s">
        <v>58</v>
      </c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</row>
    <row r="521" ht="15.75" customHeight="1">
      <c r="A521" s="72" t="s">
        <v>1679</v>
      </c>
      <c r="B521" s="72" t="s">
        <v>1680</v>
      </c>
      <c r="C521" s="72" t="s">
        <v>218</v>
      </c>
      <c r="D521" s="72" t="s">
        <v>35</v>
      </c>
      <c r="E521" s="72" t="s">
        <v>224</v>
      </c>
      <c r="F521" s="72" t="s">
        <v>220</v>
      </c>
      <c r="G521" s="72" t="s">
        <v>75</v>
      </c>
      <c r="H521" s="81">
        <v>45901.0</v>
      </c>
      <c r="I521" s="85" t="s">
        <v>1681</v>
      </c>
      <c r="J521" s="85" t="s">
        <v>1682</v>
      </c>
      <c r="K521" s="73"/>
      <c r="L521" s="72" t="s">
        <v>64</v>
      </c>
      <c r="M521" s="72" t="s">
        <v>1683</v>
      </c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</row>
    <row r="522" ht="15.75" customHeight="1">
      <c r="A522" s="56" t="s">
        <v>1684</v>
      </c>
      <c r="B522" s="111" t="s">
        <v>1685</v>
      </c>
      <c r="C522" s="72" t="s">
        <v>34</v>
      </c>
      <c r="D522" s="72" t="s">
        <v>35</v>
      </c>
      <c r="E522" s="72" t="s">
        <v>1686</v>
      </c>
      <c r="F522" s="72" t="s">
        <v>97</v>
      </c>
      <c r="G522" s="72" t="s">
        <v>75</v>
      </c>
      <c r="H522" s="180">
        <v>45992.0</v>
      </c>
      <c r="I522" s="74"/>
      <c r="J522" s="74"/>
      <c r="K522" s="73"/>
      <c r="L522" s="72" t="s">
        <v>40</v>
      </c>
      <c r="M522" s="111" t="s">
        <v>1665</v>
      </c>
      <c r="N522" s="73"/>
      <c r="O522" s="72" t="s">
        <v>58</v>
      </c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</row>
    <row r="523" ht="15.75" customHeight="1">
      <c r="A523" s="56" t="s">
        <v>1687</v>
      </c>
      <c r="B523" s="111" t="s">
        <v>1688</v>
      </c>
      <c r="C523" s="72" t="s">
        <v>34</v>
      </c>
      <c r="D523" s="72" t="s">
        <v>35</v>
      </c>
      <c r="E523" s="72" t="s">
        <v>1686</v>
      </c>
      <c r="F523" s="72" t="s">
        <v>97</v>
      </c>
      <c r="G523" s="72" t="s">
        <v>75</v>
      </c>
      <c r="H523" s="180">
        <v>45962.0</v>
      </c>
      <c r="I523" s="74"/>
      <c r="J523" s="74"/>
      <c r="K523" s="73"/>
      <c r="L523" s="72" t="s">
        <v>40</v>
      </c>
      <c r="M523" s="111" t="s">
        <v>1665</v>
      </c>
      <c r="N523" s="73"/>
      <c r="O523" s="72" t="s">
        <v>58</v>
      </c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</row>
    <row r="524" ht="15.75" customHeight="1">
      <c r="A524" s="56" t="s">
        <v>1689</v>
      </c>
      <c r="B524" s="111" t="s">
        <v>1688</v>
      </c>
      <c r="C524" s="72" t="s">
        <v>34</v>
      </c>
      <c r="D524" s="72" t="s">
        <v>35</v>
      </c>
      <c r="E524" s="72" t="s">
        <v>1686</v>
      </c>
      <c r="F524" s="72" t="s">
        <v>97</v>
      </c>
      <c r="G524" s="72" t="s">
        <v>75</v>
      </c>
      <c r="H524" s="180">
        <v>45809.0</v>
      </c>
      <c r="I524" s="74"/>
      <c r="J524" s="74"/>
      <c r="K524" s="73"/>
      <c r="L524" s="72" t="s">
        <v>40</v>
      </c>
      <c r="M524" s="111" t="s">
        <v>1665</v>
      </c>
      <c r="N524" s="73"/>
      <c r="O524" s="72" t="s">
        <v>58</v>
      </c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</row>
    <row r="525" ht="15.75" customHeight="1">
      <c r="A525" s="84" t="s">
        <v>1690</v>
      </c>
      <c r="B525" s="84" t="s">
        <v>1691</v>
      </c>
      <c r="C525" s="72" t="s">
        <v>186</v>
      </c>
      <c r="D525" s="72" t="s">
        <v>35</v>
      </c>
      <c r="E525" s="72" t="s">
        <v>1692</v>
      </c>
      <c r="F525" s="72" t="s">
        <v>37</v>
      </c>
      <c r="G525" s="72" t="s">
        <v>49</v>
      </c>
      <c r="H525" s="184">
        <v>45955.0</v>
      </c>
      <c r="I525" s="74"/>
      <c r="J525" s="74"/>
      <c r="K525" s="73"/>
      <c r="L525" s="72" t="s">
        <v>40</v>
      </c>
      <c r="M525" s="45" t="s">
        <v>1693</v>
      </c>
      <c r="N525" s="72"/>
      <c r="O525" s="72" t="s">
        <v>51</v>
      </c>
      <c r="P525" s="73"/>
      <c r="Q525" s="72" t="s">
        <v>1694</v>
      </c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</row>
    <row r="526" ht="15.75" customHeight="1">
      <c r="A526" s="76" t="s">
        <v>1695</v>
      </c>
      <c r="B526" s="76" t="s">
        <v>1696</v>
      </c>
      <c r="C526" s="72" t="s">
        <v>186</v>
      </c>
      <c r="D526" s="72" t="s">
        <v>35</v>
      </c>
      <c r="E526" s="72" t="s">
        <v>1692</v>
      </c>
      <c r="F526" s="72" t="s">
        <v>37</v>
      </c>
      <c r="G526" s="72" t="s">
        <v>49</v>
      </c>
      <c r="H526" s="99">
        <v>45721.0</v>
      </c>
      <c r="I526" s="74"/>
      <c r="J526" s="85" t="s">
        <v>1697</v>
      </c>
      <c r="K526" s="73"/>
      <c r="L526" s="72" t="s">
        <v>40</v>
      </c>
      <c r="M526" s="72" t="s">
        <v>1288</v>
      </c>
      <c r="N526" s="73"/>
      <c r="O526" s="72" t="s">
        <v>51</v>
      </c>
      <c r="P526" s="73"/>
      <c r="Q526" s="96" t="s">
        <v>1289</v>
      </c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</row>
    <row r="527" ht="15.75" customHeight="1">
      <c r="A527" s="72" t="s">
        <v>1698</v>
      </c>
      <c r="B527" s="72" t="s">
        <v>1699</v>
      </c>
      <c r="C527" s="73"/>
      <c r="D527" s="72" t="s">
        <v>409</v>
      </c>
      <c r="E527" s="72" t="s">
        <v>1490</v>
      </c>
      <c r="F527" s="72" t="s">
        <v>86</v>
      </c>
      <c r="G527" s="72" t="s">
        <v>91</v>
      </c>
      <c r="H527" s="72" t="s">
        <v>1700</v>
      </c>
      <c r="I527" s="74"/>
      <c r="J527" s="74"/>
      <c r="K527" s="73"/>
      <c r="L527" s="72" t="s">
        <v>40</v>
      </c>
      <c r="M527" s="73"/>
      <c r="N527" s="73"/>
      <c r="O527" s="72" t="s">
        <v>81</v>
      </c>
      <c r="P527" s="72" t="s">
        <v>42</v>
      </c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</row>
    <row r="528" ht="15.75" customHeight="1">
      <c r="A528" s="72" t="s">
        <v>1701</v>
      </c>
      <c r="B528" s="72" t="s">
        <v>1702</v>
      </c>
      <c r="C528" s="72" t="s">
        <v>629</v>
      </c>
      <c r="D528" s="72" t="s">
        <v>35</v>
      </c>
      <c r="E528" s="72" t="s">
        <v>1703</v>
      </c>
      <c r="F528" s="72" t="s">
        <v>1704</v>
      </c>
      <c r="G528" s="72" t="s">
        <v>75</v>
      </c>
      <c r="H528" s="73"/>
      <c r="I528" s="74"/>
      <c r="J528" s="74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</row>
    <row r="529" ht="15.75" customHeight="1">
      <c r="A529" s="72" t="s">
        <v>1223</v>
      </c>
      <c r="B529" s="111" t="s">
        <v>1705</v>
      </c>
      <c r="C529" s="72" t="s">
        <v>199</v>
      </c>
      <c r="D529" s="72" t="s">
        <v>35</v>
      </c>
      <c r="E529" s="72" t="s">
        <v>1706</v>
      </c>
      <c r="F529" s="72" t="s">
        <v>86</v>
      </c>
      <c r="G529" s="72" t="s">
        <v>49</v>
      </c>
      <c r="H529" s="73"/>
      <c r="I529" s="74"/>
      <c r="J529" s="85" t="s">
        <v>1707</v>
      </c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</row>
    <row r="530" ht="15.75" customHeight="1">
      <c r="A530" s="45" t="s">
        <v>1708</v>
      </c>
      <c r="B530" s="72" t="s">
        <v>1709</v>
      </c>
      <c r="C530" s="72" t="s">
        <v>416</v>
      </c>
      <c r="D530" s="72" t="s">
        <v>409</v>
      </c>
      <c r="E530" s="72" t="s">
        <v>1052</v>
      </c>
      <c r="F530" s="72" t="s">
        <v>37</v>
      </c>
      <c r="G530" s="72" t="s">
        <v>49</v>
      </c>
      <c r="H530" s="73"/>
      <c r="I530" s="74"/>
      <c r="J530" s="74"/>
      <c r="K530" s="73"/>
      <c r="L530" s="72" t="s">
        <v>56</v>
      </c>
      <c r="M530" s="111" t="s">
        <v>1710</v>
      </c>
      <c r="N530" s="73"/>
      <c r="O530" s="72" t="s">
        <v>58</v>
      </c>
      <c r="P530" s="72" t="s">
        <v>59</v>
      </c>
      <c r="Q530" s="96" t="s">
        <v>1711</v>
      </c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</row>
    <row r="531" ht="15.75" customHeight="1">
      <c r="K531" s="73"/>
      <c r="L531" s="73"/>
      <c r="M531" s="45" t="s">
        <v>1712</v>
      </c>
      <c r="N531" s="73"/>
      <c r="O531" s="73"/>
      <c r="P531" s="72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</row>
    <row r="532" ht="15.75" customHeight="1">
      <c r="A532" s="72" t="s">
        <v>1713</v>
      </c>
      <c r="B532" s="72" t="s">
        <v>1714</v>
      </c>
      <c r="C532" s="72" t="s">
        <v>416</v>
      </c>
      <c r="D532" s="72" t="s">
        <v>409</v>
      </c>
      <c r="E532" s="72" t="s">
        <v>1715</v>
      </c>
      <c r="F532" s="72" t="s">
        <v>37</v>
      </c>
      <c r="G532" s="72" t="s">
        <v>49</v>
      </c>
      <c r="H532" s="73"/>
      <c r="I532" s="74"/>
      <c r="J532" s="95">
        <v>45385.0</v>
      </c>
      <c r="K532" s="73"/>
      <c r="L532" s="72" t="s">
        <v>745</v>
      </c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</row>
    <row r="533" ht="15.75" customHeight="1">
      <c r="A533" s="185" t="s">
        <v>1716</v>
      </c>
      <c r="B533" s="72" t="s">
        <v>1714</v>
      </c>
      <c r="C533" s="72" t="s">
        <v>416</v>
      </c>
      <c r="D533" s="72" t="s">
        <v>409</v>
      </c>
      <c r="E533" s="72" t="s">
        <v>1717</v>
      </c>
      <c r="F533" s="72" t="s">
        <v>37</v>
      </c>
      <c r="G533" s="72" t="s">
        <v>49</v>
      </c>
      <c r="H533" s="73"/>
      <c r="I533" s="74"/>
      <c r="J533" s="95">
        <v>43952.0</v>
      </c>
      <c r="K533" s="73"/>
      <c r="L533" s="73"/>
      <c r="M533" s="186" t="s">
        <v>1718</v>
      </c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</row>
    <row r="534" ht="15.75" customHeight="1">
      <c r="A534" s="76" t="s">
        <v>1719</v>
      </c>
      <c r="B534" s="72" t="s">
        <v>1720</v>
      </c>
      <c r="C534" s="72" t="s">
        <v>199</v>
      </c>
      <c r="D534" s="72" t="s">
        <v>35</v>
      </c>
      <c r="E534" s="72" t="s">
        <v>758</v>
      </c>
      <c r="F534" s="72" t="s">
        <v>37</v>
      </c>
      <c r="G534" s="72" t="s">
        <v>75</v>
      </c>
      <c r="H534" s="73"/>
      <c r="I534" s="74"/>
      <c r="J534" s="95">
        <v>46299.0</v>
      </c>
      <c r="K534" s="73"/>
      <c r="L534" s="72" t="s">
        <v>64</v>
      </c>
      <c r="M534" s="72" t="s">
        <v>1721</v>
      </c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</row>
    <row r="535" ht="26.25" customHeight="1">
      <c r="A535" s="72" t="s">
        <v>1722</v>
      </c>
      <c r="B535" s="72" t="s">
        <v>1723</v>
      </c>
      <c r="C535" s="72" t="s">
        <v>186</v>
      </c>
      <c r="D535" s="72" t="s">
        <v>35</v>
      </c>
      <c r="E535" s="72" t="s">
        <v>1724</v>
      </c>
      <c r="F535" s="72" t="s">
        <v>37</v>
      </c>
      <c r="G535" s="72" t="s">
        <v>49</v>
      </c>
      <c r="H535" s="73"/>
      <c r="I535" s="74"/>
      <c r="J535" s="85" t="s">
        <v>1725</v>
      </c>
      <c r="K535" s="73"/>
      <c r="L535" s="72" t="s">
        <v>56</v>
      </c>
      <c r="M535" s="72" t="s">
        <v>1726</v>
      </c>
      <c r="N535" s="73"/>
      <c r="O535" s="72" t="s">
        <v>257</v>
      </c>
      <c r="P535" s="72" t="s">
        <v>42</v>
      </c>
      <c r="Q535" s="127" t="s">
        <v>1727</v>
      </c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</row>
    <row r="536" ht="15.75" customHeight="1">
      <c r="A536" s="72" t="s">
        <v>1728</v>
      </c>
      <c r="B536" s="72" t="s">
        <v>1729</v>
      </c>
      <c r="C536" s="72" t="s">
        <v>186</v>
      </c>
      <c r="D536" s="72" t="s">
        <v>35</v>
      </c>
      <c r="E536" s="72" t="s">
        <v>1730</v>
      </c>
      <c r="F536" s="73"/>
      <c r="G536" s="72" t="s">
        <v>49</v>
      </c>
      <c r="I536" s="81">
        <v>45819.0</v>
      </c>
      <c r="J536" s="85" t="s">
        <v>1731</v>
      </c>
      <c r="K536" s="73"/>
      <c r="L536" s="72" t="s">
        <v>40</v>
      </c>
      <c r="M536" s="72" t="s">
        <v>1732</v>
      </c>
      <c r="N536" s="73"/>
      <c r="O536" s="72" t="s">
        <v>41</v>
      </c>
      <c r="P536" s="72" t="s">
        <v>42</v>
      </c>
      <c r="Q536" s="128" t="s">
        <v>1733</v>
      </c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4"/>
      <c r="J537" s="74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4"/>
      <c r="J538" s="74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4"/>
      <c r="J539" s="74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</row>
    <row r="540" ht="15.75" customHeight="1">
      <c r="A540" s="73"/>
      <c r="B540" s="73"/>
      <c r="C540" s="72"/>
      <c r="D540" s="73"/>
      <c r="E540" s="73"/>
      <c r="F540" s="73"/>
      <c r="G540" s="73"/>
      <c r="H540" s="73"/>
      <c r="I540" s="74"/>
      <c r="J540" s="74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4"/>
      <c r="J541" s="74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4"/>
      <c r="J542" s="74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4"/>
      <c r="J543" s="74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4"/>
      <c r="J544" s="74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4"/>
      <c r="J545" s="74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4"/>
      <c r="J546" s="74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4"/>
      <c r="J547" s="74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4"/>
      <c r="J548" s="74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4"/>
      <c r="J549" s="74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4"/>
      <c r="J550" s="74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4"/>
      <c r="J551" s="74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4"/>
      <c r="J552" s="74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4"/>
      <c r="J553" s="74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4"/>
      <c r="J554" s="74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4"/>
      <c r="J555" s="74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4"/>
      <c r="J556" s="74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4"/>
      <c r="J557" s="74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4"/>
      <c r="J558" s="74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4"/>
      <c r="J559" s="74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4"/>
      <c r="J560" s="74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4"/>
      <c r="J561" s="74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4"/>
      <c r="J562" s="74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4"/>
      <c r="J563" s="74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4"/>
      <c r="J564" s="74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4"/>
      <c r="J565" s="74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4"/>
      <c r="J566" s="74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4"/>
      <c r="J567" s="74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4"/>
      <c r="J568" s="74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4"/>
      <c r="J569" s="74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4"/>
      <c r="J570" s="74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4"/>
      <c r="J571" s="74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4"/>
      <c r="J572" s="74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4"/>
      <c r="J573" s="74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4"/>
      <c r="J574" s="74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4"/>
      <c r="J575" s="74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4"/>
      <c r="J576" s="74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4"/>
      <c r="J577" s="74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4"/>
      <c r="J578" s="74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4"/>
      <c r="J579" s="74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4"/>
      <c r="J580" s="74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4"/>
      <c r="J581" s="74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4"/>
      <c r="J582" s="74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4"/>
      <c r="J583" s="74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4"/>
      <c r="J584" s="74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4"/>
      <c r="J585" s="74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4"/>
      <c r="J586" s="74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4"/>
      <c r="J587" s="74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4"/>
      <c r="J588" s="74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4"/>
      <c r="J589" s="74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4"/>
      <c r="J590" s="74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4"/>
      <c r="J591" s="74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4"/>
      <c r="J592" s="74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4"/>
      <c r="J593" s="74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4"/>
      <c r="J594" s="74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4"/>
      <c r="J595" s="74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4"/>
      <c r="J596" s="74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4"/>
      <c r="J597" s="74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4"/>
      <c r="J598" s="74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4"/>
      <c r="J599" s="74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4"/>
      <c r="J600" s="74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4"/>
      <c r="J601" s="74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4"/>
      <c r="J602" s="74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4"/>
      <c r="J603" s="74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4"/>
      <c r="J604" s="74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4"/>
      <c r="J605" s="74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4"/>
      <c r="J606" s="74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4"/>
      <c r="J607" s="74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4"/>
      <c r="J608" s="74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4"/>
      <c r="J609" s="74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4"/>
      <c r="J610" s="74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4"/>
      <c r="J611" s="74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4"/>
      <c r="J612" s="74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4"/>
      <c r="J613" s="74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4"/>
      <c r="J614" s="74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4"/>
      <c r="J615" s="74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4"/>
      <c r="J616" s="74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4"/>
      <c r="J617" s="74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4"/>
      <c r="J618" s="74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4"/>
      <c r="J619" s="74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4"/>
      <c r="J620" s="74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4"/>
      <c r="J621" s="74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4"/>
      <c r="J622" s="74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4"/>
      <c r="J623" s="74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4"/>
      <c r="J624" s="74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4"/>
      <c r="J625" s="74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4"/>
      <c r="J626" s="74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4"/>
      <c r="J627" s="74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4"/>
      <c r="J628" s="74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4"/>
      <c r="J629" s="74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4"/>
      <c r="J630" s="74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4"/>
      <c r="J631" s="74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4"/>
      <c r="J632" s="74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4"/>
      <c r="J633" s="74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4"/>
      <c r="J634" s="74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4"/>
      <c r="J635" s="74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4"/>
      <c r="J636" s="74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4"/>
      <c r="J637" s="74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4"/>
      <c r="J638" s="74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4"/>
      <c r="J639" s="74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4"/>
      <c r="J640" s="74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4"/>
      <c r="J641" s="74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4"/>
      <c r="J642" s="74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4"/>
      <c r="J643" s="74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4"/>
      <c r="J644" s="74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4"/>
      <c r="J645" s="74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4"/>
      <c r="J646" s="74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4"/>
      <c r="J647" s="74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4"/>
      <c r="J648" s="74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4"/>
      <c r="J649" s="74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4"/>
      <c r="J650" s="74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4"/>
      <c r="J651" s="74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4"/>
      <c r="J652" s="74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4"/>
      <c r="J653" s="74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4"/>
      <c r="J654" s="74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4"/>
      <c r="J655" s="74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4"/>
      <c r="J656" s="74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4"/>
      <c r="J657" s="74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4"/>
      <c r="J658" s="74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4"/>
      <c r="J659" s="74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4"/>
      <c r="J660" s="74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4"/>
      <c r="J661" s="74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4"/>
      <c r="J662" s="74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4"/>
      <c r="J663" s="74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4"/>
      <c r="J664" s="74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4"/>
      <c r="J665" s="74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4"/>
      <c r="J666" s="74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4"/>
      <c r="J667" s="74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4"/>
      <c r="J668" s="74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4"/>
      <c r="J669" s="74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4"/>
      <c r="J670" s="74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4"/>
      <c r="J671" s="74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4"/>
      <c r="J672" s="74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4"/>
      <c r="J673" s="74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4"/>
      <c r="J674" s="74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4"/>
      <c r="J675" s="74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4"/>
      <c r="J676" s="74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4"/>
      <c r="J677" s="74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4"/>
      <c r="J678" s="74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4"/>
      <c r="J679" s="74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4"/>
      <c r="J680" s="74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4"/>
      <c r="J681" s="74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4"/>
      <c r="J682" s="74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4"/>
      <c r="J683" s="74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4"/>
      <c r="J684" s="74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4"/>
      <c r="J685" s="74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4"/>
      <c r="J686" s="74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4"/>
      <c r="J687" s="74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4"/>
      <c r="J688" s="74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4"/>
      <c r="J689" s="74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4"/>
      <c r="J690" s="74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4"/>
      <c r="J691" s="74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4"/>
      <c r="J692" s="74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4"/>
      <c r="J693" s="74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4"/>
      <c r="J694" s="74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4"/>
      <c r="J695" s="74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4"/>
      <c r="J696" s="74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4"/>
      <c r="J697" s="74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4"/>
      <c r="J698" s="74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4"/>
      <c r="J699" s="74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4"/>
      <c r="J700" s="74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4"/>
      <c r="J701" s="74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4"/>
      <c r="J702" s="74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4"/>
      <c r="J703" s="74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4"/>
      <c r="J704" s="74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4"/>
      <c r="J705" s="74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4"/>
      <c r="J706" s="74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4"/>
      <c r="J707" s="74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4"/>
      <c r="J708" s="74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4"/>
      <c r="J709" s="74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4"/>
      <c r="J710" s="74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4"/>
      <c r="J711" s="74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4"/>
      <c r="J712" s="74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4"/>
      <c r="J713" s="74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4"/>
      <c r="J714" s="74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4"/>
      <c r="J715" s="74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4"/>
      <c r="J716" s="74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4"/>
      <c r="J717" s="74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4"/>
      <c r="J718" s="74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4"/>
      <c r="J719" s="74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4"/>
      <c r="J720" s="74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4"/>
      <c r="J721" s="74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4"/>
      <c r="J722" s="74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4"/>
      <c r="J723" s="74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4"/>
      <c r="J724" s="74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4"/>
      <c r="J725" s="74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4"/>
      <c r="J726" s="74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4"/>
      <c r="J727" s="74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4"/>
      <c r="J728" s="74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4"/>
      <c r="J729" s="74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4"/>
      <c r="J730" s="74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4"/>
      <c r="J731" s="74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4"/>
      <c r="J732" s="74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4"/>
      <c r="J733" s="74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4"/>
      <c r="J734" s="74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4"/>
      <c r="J735" s="74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4"/>
      <c r="J736" s="74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4"/>
      <c r="J737" s="74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4"/>
      <c r="J738" s="74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4"/>
      <c r="J739" s="74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4"/>
      <c r="J740" s="74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4"/>
      <c r="J741" s="74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4"/>
      <c r="J742" s="74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4"/>
      <c r="J743" s="74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4"/>
      <c r="J744" s="74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4"/>
      <c r="J745" s="74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4"/>
      <c r="J746" s="74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4"/>
      <c r="J747" s="74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4"/>
      <c r="J748" s="74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4"/>
      <c r="J749" s="74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4"/>
      <c r="J750" s="74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4"/>
      <c r="J751" s="74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4"/>
      <c r="J752" s="74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4"/>
      <c r="J753" s="74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4"/>
      <c r="J754" s="74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4"/>
      <c r="J755" s="74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4"/>
      <c r="J756" s="74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4"/>
      <c r="J757" s="74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4"/>
      <c r="J758" s="74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4"/>
      <c r="J759" s="74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4"/>
      <c r="J760" s="74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4"/>
      <c r="J761" s="74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4"/>
      <c r="J762" s="74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4"/>
      <c r="J763" s="74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4"/>
      <c r="J764" s="74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4"/>
      <c r="J765" s="74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4"/>
      <c r="J766" s="74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4"/>
      <c r="J767" s="74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4"/>
      <c r="J768" s="74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4"/>
      <c r="J769" s="74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4"/>
      <c r="J770" s="74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4"/>
      <c r="J771" s="74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4"/>
      <c r="J772" s="74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4"/>
      <c r="J773" s="74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4"/>
      <c r="J774" s="74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4"/>
      <c r="J775" s="74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4"/>
      <c r="J776" s="74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4"/>
      <c r="J777" s="74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4"/>
      <c r="J778" s="74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4"/>
      <c r="J779" s="74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4"/>
      <c r="J780" s="74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4"/>
      <c r="J781" s="74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4"/>
      <c r="J782" s="74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4"/>
      <c r="J783" s="74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4"/>
      <c r="J784" s="74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4"/>
      <c r="J785" s="74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4"/>
      <c r="J786" s="74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4"/>
      <c r="J787" s="74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4"/>
      <c r="J788" s="74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4"/>
      <c r="J789" s="74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4"/>
      <c r="J790" s="74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4"/>
      <c r="J791" s="74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4"/>
      <c r="J792" s="74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4"/>
      <c r="J793" s="74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4"/>
      <c r="J794" s="74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4"/>
      <c r="J795" s="74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4"/>
      <c r="J796" s="74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4"/>
      <c r="J797" s="74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4"/>
      <c r="J798" s="74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4"/>
      <c r="J799" s="74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4"/>
      <c r="J800" s="74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4"/>
      <c r="J801" s="74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4"/>
      <c r="J802" s="74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4"/>
      <c r="J803" s="74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4"/>
      <c r="J804" s="74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4"/>
      <c r="J805" s="74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4"/>
      <c r="J806" s="74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4"/>
      <c r="J807" s="74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4"/>
      <c r="J808" s="74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4"/>
      <c r="J809" s="74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4"/>
      <c r="J810" s="74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4"/>
      <c r="J811" s="74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4"/>
      <c r="J812" s="74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4"/>
      <c r="J813" s="74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4"/>
      <c r="J814" s="74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4"/>
      <c r="J815" s="74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4"/>
      <c r="J816" s="74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4"/>
      <c r="J817" s="74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4"/>
      <c r="J818" s="74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4"/>
      <c r="J819" s="74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4"/>
      <c r="J820" s="74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4"/>
      <c r="J821" s="74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4"/>
      <c r="J822" s="74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4"/>
      <c r="J823" s="74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4"/>
      <c r="J824" s="74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4"/>
      <c r="J825" s="74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4"/>
      <c r="J826" s="74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4"/>
      <c r="J827" s="74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4"/>
      <c r="J828" s="74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4"/>
      <c r="J829" s="74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4"/>
      <c r="J830" s="74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4"/>
      <c r="J831" s="74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4"/>
      <c r="J832" s="74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4"/>
      <c r="J833" s="74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4"/>
      <c r="J834" s="74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4"/>
      <c r="J835" s="74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4"/>
      <c r="J836" s="74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4"/>
      <c r="J837" s="74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4"/>
      <c r="J838" s="74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4"/>
      <c r="J839" s="74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4"/>
      <c r="J840" s="74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4"/>
      <c r="J841" s="74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4"/>
      <c r="J842" s="74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4"/>
      <c r="J843" s="74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4"/>
      <c r="J844" s="74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4"/>
      <c r="J845" s="74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4"/>
      <c r="J846" s="74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4"/>
      <c r="J847" s="74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4"/>
      <c r="J848" s="74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4"/>
      <c r="J849" s="74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4"/>
      <c r="J850" s="74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4"/>
      <c r="J851" s="74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4"/>
      <c r="J852" s="74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4"/>
      <c r="J853" s="74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4"/>
      <c r="J854" s="74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4"/>
      <c r="J855" s="74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4"/>
      <c r="J856" s="74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4"/>
      <c r="J857" s="74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4"/>
      <c r="J858" s="74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4"/>
      <c r="J859" s="74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4"/>
      <c r="J860" s="74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4"/>
      <c r="J861" s="74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4"/>
      <c r="J862" s="74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4"/>
      <c r="J863" s="74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4"/>
      <c r="J864" s="74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4"/>
      <c r="J865" s="74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4"/>
      <c r="J866" s="74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4"/>
      <c r="J867" s="74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4"/>
      <c r="J868" s="74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4"/>
      <c r="J869" s="74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4"/>
      <c r="J870" s="74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4"/>
      <c r="J871" s="74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4"/>
      <c r="J872" s="74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4"/>
      <c r="J873" s="74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4"/>
      <c r="J874" s="74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4"/>
      <c r="J875" s="74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4"/>
      <c r="J876" s="74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4"/>
      <c r="J877" s="74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4"/>
      <c r="J878" s="74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4"/>
      <c r="J879" s="74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4"/>
      <c r="J880" s="74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4"/>
      <c r="J881" s="74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4"/>
      <c r="J882" s="74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4"/>
      <c r="J883" s="74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4"/>
      <c r="J884" s="74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4"/>
      <c r="J885" s="74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4"/>
      <c r="J886" s="74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4"/>
      <c r="J887" s="74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4"/>
      <c r="J888" s="74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4"/>
      <c r="J889" s="74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4"/>
      <c r="J890" s="74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4"/>
      <c r="J891" s="74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4"/>
      <c r="J892" s="74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4"/>
      <c r="J893" s="74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4"/>
      <c r="J894" s="74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4"/>
      <c r="J895" s="74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4"/>
      <c r="J896" s="74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4"/>
      <c r="J897" s="74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4"/>
      <c r="J898" s="74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4"/>
      <c r="J899" s="74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4"/>
      <c r="J900" s="74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4"/>
      <c r="J901" s="74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4"/>
      <c r="J902" s="74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4"/>
      <c r="J903" s="74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4"/>
      <c r="J904" s="74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4"/>
      <c r="J905" s="74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4"/>
      <c r="J906" s="74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4"/>
      <c r="J907" s="74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4"/>
      <c r="J908" s="74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4"/>
      <c r="J909" s="74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4"/>
      <c r="J910" s="74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4"/>
      <c r="J911" s="74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4"/>
      <c r="J912" s="74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4"/>
      <c r="J913" s="74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4"/>
      <c r="J914" s="74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4"/>
      <c r="J915" s="74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4"/>
      <c r="J916" s="74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4"/>
      <c r="J917" s="74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4"/>
      <c r="J918" s="74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4"/>
      <c r="J919" s="74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4"/>
      <c r="J920" s="74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4"/>
      <c r="J921" s="74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4"/>
      <c r="J922" s="74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4"/>
      <c r="J923" s="74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4"/>
      <c r="J924" s="74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4"/>
      <c r="J925" s="74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4"/>
      <c r="J926" s="74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4"/>
      <c r="J927" s="74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4"/>
      <c r="J928" s="74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4"/>
      <c r="J929" s="74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4"/>
      <c r="J930" s="74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4"/>
      <c r="J931" s="74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4"/>
      <c r="J932" s="74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4"/>
      <c r="J933" s="74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4"/>
      <c r="J934" s="74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4"/>
      <c r="J935" s="74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4"/>
      <c r="J936" s="74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4"/>
      <c r="J937" s="74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4"/>
      <c r="J938" s="74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4"/>
      <c r="J939" s="74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4"/>
      <c r="J940" s="74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4"/>
      <c r="J941" s="74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4"/>
      <c r="J942" s="74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4"/>
      <c r="J943" s="74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4"/>
      <c r="J944" s="74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4"/>
      <c r="J945" s="74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4"/>
      <c r="J946" s="74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4"/>
      <c r="J947" s="74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4"/>
      <c r="J948" s="74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4"/>
      <c r="J949" s="74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4"/>
      <c r="J950" s="74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4"/>
      <c r="J951" s="74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4"/>
      <c r="J952" s="74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4"/>
      <c r="J953" s="74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4"/>
      <c r="J954" s="74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4"/>
      <c r="J955" s="74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4"/>
      <c r="J956" s="74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4"/>
      <c r="J957" s="74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4"/>
      <c r="J958" s="74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4"/>
      <c r="J959" s="74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4"/>
      <c r="J960" s="74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4"/>
      <c r="J961" s="74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4"/>
      <c r="J962" s="74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4"/>
      <c r="J963" s="74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4"/>
      <c r="J964" s="74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4"/>
      <c r="J965" s="74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4"/>
      <c r="J966" s="74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4"/>
      <c r="J967" s="74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4"/>
      <c r="J968" s="74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4"/>
      <c r="J969" s="74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4"/>
      <c r="J970" s="74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4"/>
      <c r="J971" s="74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4"/>
      <c r="J972" s="74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4"/>
      <c r="J973" s="74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4"/>
      <c r="J974" s="74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4"/>
      <c r="J975" s="74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4"/>
      <c r="J976" s="74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4"/>
      <c r="J977" s="74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4"/>
      <c r="J978" s="74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4"/>
      <c r="J979" s="74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4"/>
      <c r="J980" s="74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4"/>
      <c r="J981" s="74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4"/>
      <c r="J982" s="74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4"/>
      <c r="J983" s="74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4"/>
      <c r="J984" s="74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4"/>
      <c r="J985" s="74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4"/>
      <c r="J986" s="74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4"/>
      <c r="J987" s="74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4"/>
      <c r="J988" s="74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4"/>
      <c r="J989" s="74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4"/>
      <c r="J990" s="74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4"/>
      <c r="J991" s="74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4"/>
      <c r="J992" s="74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4"/>
      <c r="J993" s="74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4"/>
      <c r="J994" s="74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4"/>
      <c r="J995" s="74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</row>
  </sheetData>
  <mergeCells count="7">
    <mergeCell ref="A1:E1"/>
    <mergeCell ref="G1:H1"/>
    <mergeCell ref="J1:L1"/>
    <mergeCell ref="M1:N1"/>
    <mergeCell ref="O1:P1"/>
    <mergeCell ref="Q1:R1"/>
    <mergeCell ref="S1:AC1"/>
  </mergeCells>
  <conditionalFormatting sqref="H370">
    <cfRule type="notContainsBlanks" dxfId="0" priority="1">
      <formula>LEN(TRIM(H370))&gt;0</formula>
    </cfRule>
  </conditionalFormatting>
  <dataValidations>
    <dataValidation type="list" allowBlank="1" sqref="L3:L995">
      <formula1>"Journal Article,Conference Paper,Book Chapter,Review Article,Other Publication"</formula1>
    </dataValidation>
    <dataValidation type="list" allowBlank="1" sqref="G3:G407 G408:H408 G409:G530 G532:G995">
      <formula1>"Draft / Work in Progress,Submitted,Under Review,Revision Required,Accepted,Published,Rejected,Zero paper"</formula1>
    </dataValidation>
    <dataValidation type="list" allowBlank="1" sqref="X3:X995">
      <formula1>"DST,SERB,AICTE,UGC,Industry,Internal,Other,None"</formula1>
    </dataValidation>
    <dataValidation type="list" allowBlank="1" sqref="D3:D530 D532:D995">
      <formula1>"North,South"</formula1>
    </dataValidation>
    <dataValidation type="list" allowBlank="1" sqref="O3:O995">
      <formula1>"Q1,Q2,Q3,Q4,Unspecified,Not Scopus"</formula1>
    </dataValidation>
    <dataValidation type="list" allowBlank="1" sqref="C3:C530 C532:C995">
      <formula1>"CSE,ISE,ECE,MECH,CIVIL,EEE,MCA,MATHS,PHY,CHEM"</formula1>
    </dataValidation>
    <dataValidation type="list" allowBlank="1" sqref="F3:F530 F532:F995">
      <formula1>"Professor,Associate Professor,Assistant Professor,Contract Faculty"</formula1>
    </dataValidation>
    <dataValidation type="list" allowBlank="1" sqref="AA3:AA995">
      <formula1>"UG Only,PG Only,PhD Only,Mixed,None"</formula1>
    </dataValidation>
    <dataValidation type="list" allowBlank="1" sqref="P3:P995 AB3:AB995">
      <formula1>"Yes,No"</formula1>
    </dataValidation>
  </dataValidations>
  <hyperlinks>
    <hyperlink r:id="rId1" ref="Q5"/>
    <hyperlink r:id="rId2" ref="Q6"/>
    <hyperlink r:id="rId3" ref="M12"/>
    <hyperlink r:id="rId4" ref="AC21"/>
    <hyperlink r:id="rId5" ref="Q90"/>
    <hyperlink r:id="rId6" ref="Q93"/>
    <hyperlink r:id="rId7" ref="Q94"/>
    <hyperlink r:id="rId8" ref="Q96"/>
    <hyperlink r:id="rId9" ref="Q113"/>
    <hyperlink r:id="rId10" ref="Q114"/>
    <hyperlink r:id="rId11" ref="Q129"/>
    <hyperlink r:id="rId12" ref="Q134"/>
    <hyperlink r:id="rId13" ref="Q210"/>
    <hyperlink r:id="rId14" ref="Q215"/>
    <hyperlink r:id="rId15" ref="AC215"/>
    <hyperlink r:id="rId16" ref="Q240"/>
    <hyperlink r:id="rId17" ref="Q242"/>
    <hyperlink r:id="rId18" ref="Q243"/>
    <hyperlink r:id="rId19" ref="Q253"/>
    <hyperlink r:id="rId20" ref="Q352"/>
    <hyperlink r:id="rId21" ref="Q365"/>
    <hyperlink r:id="rId22" ref="Q375"/>
    <hyperlink r:id="rId23" ref="Q384"/>
    <hyperlink r:id="rId24" ref="Q385"/>
    <hyperlink r:id="rId25" ref="Q386"/>
    <hyperlink r:id="rId26" ref="Q387"/>
    <hyperlink r:id="rId27" ref="Q388"/>
    <hyperlink r:id="rId28" ref="Q394"/>
    <hyperlink r:id="rId29" ref="A396"/>
    <hyperlink r:id="rId30" ref="M396"/>
    <hyperlink r:id="rId31" ref="Q396"/>
    <hyperlink r:id="rId32" ref="Q398"/>
    <hyperlink r:id="rId33" ref="Q399"/>
    <hyperlink r:id="rId34" ref="Q400"/>
    <hyperlink r:id="rId35" ref="Q401"/>
    <hyperlink r:id="rId36" ref="Q403"/>
    <hyperlink r:id="rId37" ref="Q406"/>
    <hyperlink r:id="rId38" ref="Q408"/>
    <hyperlink r:id="rId39" ref="A409"/>
    <hyperlink r:id="rId40" ref="Q410"/>
    <hyperlink r:id="rId41" ref="Q413"/>
    <hyperlink r:id="rId42" ref="Q415"/>
    <hyperlink r:id="rId43" ref="Q416"/>
    <hyperlink r:id="rId44" ref="Q417"/>
    <hyperlink r:id="rId45" ref="Q418"/>
    <hyperlink r:id="rId46" ref="Q419"/>
    <hyperlink r:id="rId47" ref="Q420"/>
    <hyperlink r:id="rId48" ref="Q421"/>
    <hyperlink r:id="rId49" ref="Q425"/>
    <hyperlink r:id="rId50" ref="E427"/>
    <hyperlink r:id="rId51" ref="Q427"/>
    <hyperlink r:id="rId52" ref="Q430"/>
    <hyperlink r:id="rId53" ref="Q431"/>
    <hyperlink r:id="rId54" ref="E432"/>
    <hyperlink r:id="rId55" ref="Q434"/>
    <hyperlink r:id="rId56" ref="M440"/>
    <hyperlink r:id="rId57" ref="Q440"/>
    <hyperlink r:id="rId58" ref="Q442"/>
    <hyperlink r:id="rId59" ref="Q443"/>
    <hyperlink r:id="rId60" ref="Q459"/>
    <hyperlink r:id="rId61" ref="Q460"/>
    <hyperlink r:id="rId62" ref="Q474"/>
    <hyperlink r:id="rId63" ref="Q476"/>
    <hyperlink r:id="rId64" ref="Q478"/>
    <hyperlink r:id="rId65" ref="Q480"/>
    <hyperlink r:id="rId66" ref="Q498"/>
    <hyperlink r:id="rId67" ref="A505"/>
    <hyperlink r:id="rId68" ref="Q505"/>
    <hyperlink r:id="rId69" ref="A516"/>
    <hyperlink r:id="rId70" ref="A517"/>
    <hyperlink r:id="rId71" ref="A519"/>
    <hyperlink r:id="rId72" ref="Q519"/>
    <hyperlink r:id="rId73" ref="A522"/>
    <hyperlink r:id="rId74" ref="A523"/>
    <hyperlink r:id="rId75" ref="A524"/>
    <hyperlink r:id="rId76" ref="Q526"/>
    <hyperlink r:id="rId77" ref="Q530"/>
    <hyperlink r:id="rId78" ref="Q535"/>
    <hyperlink r:id="rId79" ref="Q536"/>
  </hyperlinks>
  <printOptions/>
  <pageMargins bottom="1.0" footer="0.0" header="0.0" left="0.75" right="0.75" top="1.0"/>
  <pageSetup paperSize="9" orientation="portrait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3" width="70.0"/>
    <col customWidth="1" min="4" max="26" width="8.71"/>
  </cols>
  <sheetData>
    <row r="1">
      <c r="A1" s="187"/>
      <c r="B1" s="73"/>
      <c r="C1" s="73"/>
    </row>
    <row r="2" ht="24.0" customHeight="1">
      <c r="B2" s="188" t="s">
        <v>1734</v>
      </c>
    </row>
    <row r="3">
      <c r="B3" s="73"/>
      <c r="C3" s="73"/>
    </row>
    <row r="4" ht="25.5" customHeight="1">
      <c r="B4" s="189" t="s">
        <v>1735</v>
      </c>
      <c r="C4" s="190" t="s">
        <v>1736</v>
      </c>
    </row>
    <row r="5" ht="25.5" customHeight="1">
      <c r="B5" s="191" t="s">
        <v>1737</v>
      </c>
      <c r="C5" s="192" t="s">
        <v>1738</v>
      </c>
    </row>
    <row r="6" ht="25.5" customHeight="1">
      <c r="B6" s="189" t="s">
        <v>1739</v>
      </c>
      <c r="C6" s="190" t="s">
        <v>1740</v>
      </c>
    </row>
    <row r="7" ht="25.5" customHeight="1">
      <c r="B7" s="191" t="s">
        <v>1741</v>
      </c>
      <c r="C7" s="192" t="s">
        <v>1742</v>
      </c>
    </row>
    <row r="8" ht="25.5" customHeight="1">
      <c r="B8" s="189" t="s">
        <v>1743</v>
      </c>
      <c r="C8" s="190" t="s">
        <v>1744</v>
      </c>
    </row>
    <row r="9" ht="25.5" customHeight="1">
      <c r="B9" s="191" t="s">
        <v>1745</v>
      </c>
      <c r="C9" s="192" t="s">
        <v>1746</v>
      </c>
    </row>
    <row r="10" ht="25.5" customHeight="1">
      <c r="B10" s="189" t="s">
        <v>1747</v>
      </c>
      <c r="C10" s="190" t="s">
        <v>1748</v>
      </c>
    </row>
    <row r="11" ht="25.5" customHeight="1">
      <c r="B11" s="191" t="s">
        <v>1749</v>
      </c>
      <c r="C11" s="192" t="s">
        <v>1750</v>
      </c>
    </row>
    <row r="12" ht="25.5" customHeight="1">
      <c r="B12" s="189" t="s">
        <v>1751</v>
      </c>
      <c r="C12" s="190" t="s">
        <v>1752</v>
      </c>
    </row>
    <row r="13" ht="25.5" customHeight="1">
      <c r="B13" s="191" t="s">
        <v>1753</v>
      </c>
      <c r="C13" s="192" t="s">
        <v>1754</v>
      </c>
      <c r="G13" s="45" t="s">
        <v>1755</v>
      </c>
    </row>
    <row r="14" ht="25.5" customHeight="1">
      <c r="B14" s="189" t="s">
        <v>1756</v>
      </c>
      <c r="C14" s="190" t="s">
        <v>1757</v>
      </c>
    </row>
    <row r="15" ht="25.5" customHeight="1">
      <c r="B15" s="191" t="s">
        <v>1758</v>
      </c>
      <c r="C15" s="192" t="s">
        <v>1759</v>
      </c>
    </row>
    <row r="16">
      <c r="B16" s="73"/>
      <c r="C16" s="73"/>
    </row>
    <row r="17">
      <c r="B17" s="73"/>
      <c r="C17" s="73"/>
    </row>
    <row r="18">
      <c r="B18" s="73"/>
      <c r="C18" s="73"/>
    </row>
    <row r="19">
      <c r="B19" s="73"/>
      <c r="C19" s="73"/>
    </row>
    <row r="20">
      <c r="B20" s="73"/>
      <c r="C20" s="73"/>
    </row>
    <row r="21" ht="15.75" customHeight="1">
      <c r="B21" s="73"/>
      <c r="C21" s="73"/>
    </row>
    <row r="22" ht="15.75" customHeight="1">
      <c r="B22" s="73"/>
      <c r="C22" s="73"/>
    </row>
    <row r="23" ht="15.75" customHeight="1">
      <c r="B23" s="73"/>
      <c r="C23" s="73"/>
    </row>
    <row r="24" ht="15.75" customHeight="1">
      <c r="B24" s="73"/>
      <c r="C24" s="73"/>
    </row>
    <row r="25" ht="15.75" customHeight="1">
      <c r="B25" s="73"/>
      <c r="C25" s="73"/>
    </row>
    <row r="26" ht="15.75" customHeight="1">
      <c r="B26" s="73"/>
      <c r="C26" s="73"/>
    </row>
    <row r="27" ht="15.75" customHeight="1">
      <c r="B27" s="73"/>
      <c r="C27" s="73"/>
    </row>
    <row r="28" ht="15.75" customHeight="1">
      <c r="B28" s="73"/>
      <c r="C28" s="73"/>
    </row>
    <row r="29" ht="15.75" customHeight="1">
      <c r="B29" s="73"/>
      <c r="C29" s="73"/>
    </row>
    <row r="30" ht="15.75" customHeight="1">
      <c r="B30" s="73"/>
      <c r="C30" s="73"/>
    </row>
    <row r="31" ht="15.75" customHeight="1">
      <c r="B31" s="73"/>
      <c r="C31" s="73"/>
    </row>
    <row r="32" ht="15.75" customHeight="1">
      <c r="B32" s="73"/>
      <c r="C32" s="73"/>
    </row>
    <row r="33" ht="15.75" customHeight="1">
      <c r="B33" s="73"/>
      <c r="C33" s="73"/>
    </row>
    <row r="34" ht="15.75" customHeight="1">
      <c r="B34" s="73"/>
      <c r="C34" s="73"/>
    </row>
    <row r="35" ht="15.75" customHeight="1">
      <c r="B35" s="73"/>
      <c r="C35" s="73"/>
    </row>
    <row r="36" ht="15.75" customHeight="1">
      <c r="B36" s="73"/>
      <c r="C36" s="73"/>
    </row>
    <row r="37" ht="15.75" customHeight="1">
      <c r="B37" s="73"/>
      <c r="C37" s="73"/>
    </row>
    <row r="38" ht="15.75" customHeight="1">
      <c r="B38" s="73"/>
      <c r="C38" s="73"/>
    </row>
    <row r="39" ht="15.75" customHeight="1">
      <c r="B39" s="73"/>
      <c r="C39" s="73"/>
    </row>
    <row r="40" ht="15.75" customHeight="1">
      <c r="B40" s="73"/>
      <c r="C40" s="73"/>
    </row>
    <row r="41" ht="15.75" customHeight="1">
      <c r="B41" s="73"/>
      <c r="C41" s="73"/>
    </row>
    <row r="42" ht="15.75" customHeight="1">
      <c r="B42" s="73"/>
      <c r="C42" s="73"/>
    </row>
    <row r="43" ht="15.75" customHeight="1">
      <c r="B43" s="73"/>
      <c r="C43" s="73"/>
    </row>
    <row r="44" ht="15.75" customHeight="1">
      <c r="B44" s="73"/>
      <c r="C44" s="73"/>
    </row>
    <row r="45" ht="15.75" customHeight="1">
      <c r="B45" s="73"/>
      <c r="C45" s="73"/>
    </row>
    <row r="46" ht="15.75" customHeight="1">
      <c r="B46" s="73"/>
      <c r="C46" s="73"/>
    </row>
    <row r="47" ht="15.75" customHeight="1">
      <c r="B47" s="73"/>
      <c r="C47" s="73"/>
    </row>
    <row r="48" ht="15.75" customHeight="1">
      <c r="B48" s="73"/>
      <c r="C48" s="73"/>
    </row>
    <row r="49" ht="15.75" customHeight="1">
      <c r="B49" s="73"/>
      <c r="C49" s="73"/>
    </row>
    <row r="50" ht="15.75" customHeight="1">
      <c r="B50" s="73"/>
      <c r="C50" s="73"/>
    </row>
    <row r="51" ht="15.75" customHeight="1">
      <c r="B51" s="73"/>
      <c r="C51" s="73"/>
    </row>
    <row r="52" ht="15.75" customHeight="1">
      <c r="B52" s="73"/>
      <c r="C52" s="73"/>
    </row>
    <row r="53" ht="15.75" customHeight="1">
      <c r="B53" s="73"/>
      <c r="C53" s="73"/>
    </row>
    <row r="54" ht="15.75" customHeight="1">
      <c r="B54" s="73"/>
      <c r="C54" s="73"/>
    </row>
    <row r="55" ht="15.75" customHeight="1">
      <c r="B55" s="73"/>
      <c r="C55" s="73"/>
    </row>
    <row r="56" ht="15.75" customHeight="1">
      <c r="B56" s="73"/>
      <c r="C56" s="73"/>
    </row>
    <row r="57" ht="15.75" customHeight="1">
      <c r="B57" s="73"/>
      <c r="C57" s="73"/>
    </row>
    <row r="58" ht="15.75" customHeight="1">
      <c r="B58" s="73"/>
      <c r="C58" s="73"/>
    </row>
    <row r="59" ht="15.75" customHeight="1">
      <c r="B59" s="73"/>
      <c r="C59" s="73"/>
    </row>
    <row r="60" ht="15.75" customHeight="1">
      <c r="B60" s="73"/>
      <c r="C60" s="73"/>
    </row>
    <row r="61" ht="15.75" customHeight="1">
      <c r="B61" s="73"/>
      <c r="C61" s="73"/>
    </row>
    <row r="62" ht="15.75" customHeight="1">
      <c r="B62" s="73"/>
      <c r="C62" s="73"/>
    </row>
    <row r="63" ht="15.75" customHeight="1">
      <c r="B63" s="73"/>
      <c r="C63" s="73"/>
    </row>
    <row r="64" ht="15.75" customHeight="1">
      <c r="B64" s="73"/>
      <c r="C64" s="73"/>
    </row>
    <row r="65" ht="15.75" customHeight="1">
      <c r="B65" s="73"/>
      <c r="C65" s="73"/>
    </row>
    <row r="66" ht="15.75" customHeight="1">
      <c r="B66" s="73"/>
      <c r="C66" s="73"/>
    </row>
    <row r="67" ht="15.75" customHeight="1">
      <c r="B67" s="73"/>
      <c r="C67" s="73"/>
    </row>
    <row r="68" ht="15.75" customHeight="1">
      <c r="B68" s="73"/>
      <c r="C68" s="73"/>
    </row>
    <row r="69" ht="15.75" customHeight="1">
      <c r="B69" s="73"/>
      <c r="C69" s="73"/>
    </row>
    <row r="70" ht="15.75" customHeight="1">
      <c r="B70" s="73"/>
      <c r="C70" s="73"/>
    </row>
    <row r="71" ht="15.75" customHeight="1">
      <c r="B71" s="73"/>
      <c r="C71" s="73"/>
    </row>
    <row r="72" ht="15.75" customHeight="1">
      <c r="B72" s="73"/>
      <c r="C72" s="73"/>
    </row>
    <row r="73" ht="15.75" customHeight="1">
      <c r="B73" s="73"/>
      <c r="C73" s="73"/>
    </row>
    <row r="74" ht="15.75" customHeight="1">
      <c r="B74" s="73"/>
      <c r="C74" s="73"/>
    </row>
    <row r="75" ht="15.75" customHeight="1">
      <c r="B75" s="73"/>
      <c r="C75" s="73"/>
    </row>
    <row r="76" ht="15.75" customHeight="1">
      <c r="B76" s="73"/>
      <c r="C76" s="73"/>
    </row>
    <row r="77" ht="15.75" customHeight="1">
      <c r="B77" s="73"/>
      <c r="C77" s="73"/>
    </row>
    <row r="78" ht="15.75" customHeight="1">
      <c r="B78" s="73"/>
      <c r="C78" s="73"/>
    </row>
    <row r="79" ht="15.75" customHeight="1">
      <c r="B79" s="73"/>
      <c r="C79" s="73"/>
    </row>
    <row r="80" ht="15.75" customHeight="1">
      <c r="B80" s="73"/>
      <c r="C80" s="73"/>
    </row>
    <row r="81" ht="15.75" customHeight="1">
      <c r="B81" s="73"/>
      <c r="C81" s="73"/>
    </row>
    <row r="82" ht="15.75" customHeight="1">
      <c r="B82" s="73"/>
      <c r="C82" s="73"/>
    </row>
    <row r="83" ht="15.75" customHeight="1">
      <c r="B83" s="73"/>
      <c r="C83" s="73"/>
    </row>
    <row r="84" ht="15.75" customHeight="1">
      <c r="B84" s="73"/>
      <c r="C84" s="73"/>
    </row>
    <row r="85" ht="15.75" customHeight="1">
      <c r="B85" s="73"/>
      <c r="C85" s="73"/>
    </row>
    <row r="86" ht="15.75" customHeight="1">
      <c r="B86" s="73"/>
      <c r="C86" s="73"/>
    </row>
    <row r="87" ht="15.75" customHeight="1">
      <c r="B87" s="73"/>
      <c r="C87" s="73"/>
    </row>
    <row r="88" ht="15.75" customHeight="1">
      <c r="B88" s="73"/>
      <c r="C88" s="73"/>
    </row>
    <row r="89" ht="15.75" customHeight="1">
      <c r="B89" s="73"/>
      <c r="C89" s="73"/>
    </row>
    <row r="90" ht="15.75" customHeight="1">
      <c r="B90" s="73"/>
      <c r="C90" s="73"/>
    </row>
    <row r="91" ht="15.75" customHeight="1">
      <c r="B91" s="73"/>
      <c r="C91" s="73"/>
    </row>
    <row r="92" ht="15.75" customHeight="1">
      <c r="B92" s="73"/>
      <c r="C92" s="73"/>
    </row>
    <row r="93" ht="15.75" customHeight="1">
      <c r="B93" s="73"/>
      <c r="C93" s="73"/>
    </row>
    <row r="94" ht="15.75" customHeight="1">
      <c r="B94" s="73"/>
      <c r="C94" s="73"/>
    </row>
    <row r="95" ht="15.75" customHeight="1">
      <c r="B95" s="73"/>
      <c r="C95" s="73"/>
    </row>
    <row r="96" ht="15.75" customHeight="1">
      <c r="B96" s="73"/>
      <c r="C96" s="73"/>
    </row>
    <row r="97" ht="15.75" customHeight="1">
      <c r="B97" s="73"/>
      <c r="C97" s="73"/>
    </row>
    <row r="98" ht="15.75" customHeight="1">
      <c r="B98" s="73"/>
      <c r="C98" s="73"/>
    </row>
    <row r="99" ht="15.75" customHeight="1">
      <c r="B99" s="73"/>
      <c r="C99" s="73"/>
    </row>
    <row r="100" ht="15.75" customHeight="1">
      <c r="B100" s="73"/>
      <c r="C100" s="73"/>
    </row>
    <row r="101" ht="15.75" customHeight="1">
      <c r="B101" s="73"/>
      <c r="C101" s="73"/>
    </row>
    <row r="102" ht="15.75" customHeight="1">
      <c r="B102" s="73"/>
      <c r="C102" s="73"/>
    </row>
    <row r="103" ht="15.75" customHeight="1">
      <c r="B103" s="73"/>
      <c r="C103" s="73"/>
    </row>
    <row r="104" ht="15.75" customHeight="1">
      <c r="B104" s="73"/>
      <c r="C104" s="73"/>
    </row>
    <row r="105" ht="15.75" customHeight="1">
      <c r="B105" s="73"/>
      <c r="C105" s="73"/>
    </row>
    <row r="106" ht="15.75" customHeight="1">
      <c r="B106" s="73"/>
      <c r="C106" s="73"/>
    </row>
    <row r="107" ht="15.75" customHeight="1">
      <c r="B107" s="73"/>
      <c r="C107" s="73"/>
    </row>
    <row r="108" ht="15.75" customHeight="1">
      <c r="B108" s="73"/>
      <c r="C108" s="73"/>
    </row>
    <row r="109" ht="15.75" customHeight="1">
      <c r="B109" s="73"/>
      <c r="C109" s="73"/>
    </row>
    <row r="110" ht="15.75" customHeight="1">
      <c r="B110" s="73"/>
      <c r="C110" s="73"/>
    </row>
    <row r="111" ht="15.75" customHeight="1">
      <c r="B111" s="73"/>
      <c r="C111" s="73"/>
    </row>
    <row r="112" ht="15.75" customHeight="1">
      <c r="B112" s="73"/>
      <c r="C112" s="73"/>
    </row>
    <row r="113" ht="15.75" customHeight="1">
      <c r="B113" s="73"/>
      <c r="C113" s="73"/>
    </row>
    <row r="114" ht="15.75" customHeight="1">
      <c r="B114" s="73"/>
      <c r="C114" s="73"/>
    </row>
    <row r="115" ht="15.75" customHeight="1">
      <c r="B115" s="73"/>
      <c r="C115" s="73"/>
    </row>
    <row r="116" ht="15.75" customHeight="1">
      <c r="B116" s="73"/>
      <c r="C116" s="73"/>
    </row>
    <row r="117" ht="15.75" customHeight="1">
      <c r="B117" s="73"/>
      <c r="C117" s="73"/>
    </row>
    <row r="118" ht="15.75" customHeight="1">
      <c r="B118" s="73"/>
      <c r="C118" s="73"/>
    </row>
    <row r="119" ht="15.75" customHeight="1">
      <c r="B119" s="73"/>
      <c r="C119" s="73"/>
    </row>
    <row r="120" ht="15.75" customHeight="1">
      <c r="B120" s="73"/>
      <c r="C120" s="73"/>
    </row>
    <row r="121" ht="15.75" customHeight="1">
      <c r="B121" s="73"/>
      <c r="C121" s="73"/>
    </row>
    <row r="122" ht="15.75" customHeight="1">
      <c r="B122" s="73"/>
      <c r="C122" s="73"/>
    </row>
    <row r="123" ht="15.75" customHeight="1">
      <c r="B123" s="73"/>
      <c r="C123" s="73"/>
    </row>
    <row r="124" ht="15.75" customHeight="1">
      <c r="B124" s="73"/>
      <c r="C124" s="73"/>
    </row>
    <row r="125" ht="15.75" customHeight="1">
      <c r="B125" s="73"/>
      <c r="C125" s="73"/>
    </row>
    <row r="126" ht="15.75" customHeight="1">
      <c r="B126" s="73"/>
      <c r="C126" s="73"/>
    </row>
    <row r="127" ht="15.75" customHeight="1">
      <c r="B127" s="73"/>
      <c r="C127" s="73"/>
    </row>
    <row r="128" ht="15.75" customHeight="1">
      <c r="B128" s="73"/>
      <c r="C128" s="73"/>
    </row>
    <row r="129" ht="15.75" customHeight="1">
      <c r="B129" s="73"/>
      <c r="C129" s="73"/>
    </row>
    <row r="130" ht="15.75" customHeight="1">
      <c r="B130" s="73"/>
      <c r="C130" s="73"/>
    </row>
    <row r="131" ht="15.75" customHeight="1">
      <c r="B131" s="73"/>
      <c r="C131" s="73"/>
    </row>
    <row r="132" ht="15.75" customHeight="1">
      <c r="B132" s="73"/>
      <c r="C132" s="73"/>
    </row>
    <row r="133" ht="15.75" customHeight="1">
      <c r="B133" s="73"/>
      <c r="C133" s="73"/>
    </row>
    <row r="134" ht="15.75" customHeight="1">
      <c r="B134" s="73"/>
      <c r="C134" s="73"/>
    </row>
    <row r="135" ht="15.75" customHeight="1">
      <c r="B135" s="73"/>
      <c r="C135" s="73"/>
    </row>
    <row r="136" ht="15.75" customHeight="1">
      <c r="B136" s="73"/>
      <c r="C136" s="73"/>
    </row>
    <row r="137" ht="15.75" customHeight="1">
      <c r="B137" s="73"/>
      <c r="C137" s="73"/>
    </row>
    <row r="138" ht="15.75" customHeight="1">
      <c r="B138" s="73"/>
      <c r="C138" s="73"/>
    </row>
    <row r="139" ht="15.75" customHeight="1">
      <c r="B139" s="73"/>
      <c r="C139" s="73"/>
    </row>
    <row r="140" ht="15.75" customHeight="1">
      <c r="B140" s="73"/>
      <c r="C140" s="73"/>
    </row>
    <row r="141" ht="15.75" customHeight="1">
      <c r="B141" s="73"/>
      <c r="C141" s="73"/>
    </row>
    <row r="142" ht="15.75" customHeight="1">
      <c r="B142" s="73"/>
      <c r="C142" s="73"/>
    </row>
    <row r="143" ht="15.75" customHeight="1">
      <c r="B143" s="73"/>
      <c r="C143" s="73"/>
    </row>
    <row r="144" ht="15.75" customHeight="1">
      <c r="B144" s="73"/>
      <c r="C144" s="73"/>
    </row>
    <row r="145" ht="15.75" customHeight="1">
      <c r="B145" s="73"/>
      <c r="C145" s="73"/>
    </row>
    <row r="146" ht="15.75" customHeight="1">
      <c r="B146" s="73"/>
      <c r="C146" s="73"/>
    </row>
    <row r="147" ht="15.75" customHeight="1">
      <c r="B147" s="73"/>
      <c r="C147" s="73"/>
    </row>
    <row r="148" ht="15.75" customHeight="1">
      <c r="B148" s="73"/>
      <c r="C148" s="73"/>
    </row>
    <row r="149" ht="15.75" customHeight="1">
      <c r="B149" s="73"/>
      <c r="C149" s="73"/>
    </row>
    <row r="150" ht="15.75" customHeight="1">
      <c r="B150" s="73"/>
      <c r="C150" s="73"/>
    </row>
    <row r="151" ht="15.75" customHeight="1">
      <c r="B151" s="73"/>
      <c r="C151" s="73"/>
    </row>
    <row r="152" ht="15.75" customHeight="1">
      <c r="B152" s="73"/>
      <c r="C152" s="73"/>
    </row>
    <row r="153" ht="15.75" customHeight="1">
      <c r="B153" s="73"/>
      <c r="C153" s="73"/>
    </row>
    <row r="154" ht="15.75" customHeight="1">
      <c r="B154" s="73"/>
      <c r="C154" s="73"/>
    </row>
    <row r="155" ht="15.75" customHeight="1">
      <c r="B155" s="73"/>
      <c r="C155" s="73"/>
    </row>
    <row r="156" ht="15.75" customHeight="1">
      <c r="B156" s="73"/>
      <c r="C156" s="73"/>
    </row>
    <row r="157" ht="15.75" customHeight="1">
      <c r="B157" s="73"/>
      <c r="C157" s="73"/>
    </row>
    <row r="158" ht="15.75" customHeight="1">
      <c r="B158" s="73"/>
      <c r="C158" s="73"/>
    </row>
    <row r="159" ht="15.75" customHeight="1">
      <c r="B159" s="73"/>
      <c r="C159" s="73"/>
    </row>
    <row r="160" ht="15.75" customHeight="1">
      <c r="B160" s="73"/>
      <c r="C160" s="73"/>
    </row>
    <row r="161" ht="15.75" customHeight="1">
      <c r="B161" s="73"/>
      <c r="C161" s="73"/>
    </row>
    <row r="162" ht="15.75" customHeight="1">
      <c r="B162" s="73"/>
      <c r="C162" s="73"/>
    </row>
    <row r="163" ht="15.75" customHeight="1">
      <c r="B163" s="73"/>
      <c r="C163" s="73"/>
    </row>
    <row r="164" ht="15.75" customHeight="1">
      <c r="B164" s="73"/>
      <c r="C164" s="73"/>
    </row>
    <row r="165" ht="15.75" customHeight="1">
      <c r="B165" s="73"/>
      <c r="C165" s="73"/>
    </row>
    <row r="166" ht="15.75" customHeight="1">
      <c r="B166" s="73"/>
      <c r="C166" s="73"/>
    </row>
    <row r="167" ht="15.75" customHeight="1">
      <c r="B167" s="73"/>
      <c r="C167" s="73"/>
    </row>
    <row r="168" ht="15.75" customHeight="1">
      <c r="B168" s="73"/>
      <c r="C168" s="73"/>
    </row>
    <row r="169" ht="15.75" customHeight="1">
      <c r="B169" s="73"/>
      <c r="C169" s="73"/>
    </row>
    <row r="170" ht="15.75" customHeight="1">
      <c r="B170" s="73"/>
      <c r="C170" s="73"/>
    </row>
    <row r="171" ht="15.75" customHeight="1">
      <c r="B171" s="73"/>
      <c r="C171" s="73"/>
    </row>
    <row r="172" ht="15.75" customHeight="1">
      <c r="B172" s="73"/>
      <c r="C172" s="73"/>
    </row>
    <row r="173" ht="15.75" customHeight="1">
      <c r="B173" s="73"/>
      <c r="C173" s="73"/>
    </row>
    <row r="174" ht="15.75" customHeight="1">
      <c r="B174" s="73"/>
      <c r="C174" s="73"/>
    </row>
    <row r="175" ht="15.75" customHeight="1">
      <c r="B175" s="73"/>
      <c r="C175" s="73"/>
    </row>
    <row r="176" ht="15.75" customHeight="1">
      <c r="B176" s="73"/>
      <c r="C176" s="73"/>
    </row>
    <row r="177" ht="15.75" customHeight="1">
      <c r="B177" s="73"/>
      <c r="C177" s="73"/>
    </row>
    <row r="178" ht="15.75" customHeight="1">
      <c r="B178" s="73"/>
      <c r="C178" s="73"/>
    </row>
    <row r="179" ht="15.75" customHeight="1">
      <c r="B179" s="73"/>
      <c r="C179" s="73"/>
    </row>
    <row r="180" ht="15.75" customHeight="1">
      <c r="B180" s="73"/>
      <c r="C180" s="73"/>
    </row>
    <row r="181" ht="15.75" customHeight="1">
      <c r="B181" s="73"/>
      <c r="C181" s="73"/>
    </row>
    <row r="182" ht="15.75" customHeight="1">
      <c r="B182" s="73"/>
      <c r="C182" s="73"/>
    </row>
    <row r="183" ht="15.75" customHeight="1">
      <c r="B183" s="73"/>
      <c r="C183" s="73"/>
    </row>
    <row r="184" ht="15.75" customHeight="1">
      <c r="B184" s="73"/>
      <c r="C184" s="73"/>
    </row>
    <row r="185" ht="15.75" customHeight="1">
      <c r="B185" s="73"/>
      <c r="C185" s="73"/>
    </row>
    <row r="186" ht="15.75" customHeight="1">
      <c r="B186" s="73"/>
      <c r="C186" s="73"/>
    </row>
    <row r="187" ht="15.75" customHeight="1">
      <c r="B187" s="73"/>
      <c r="C187" s="73"/>
    </row>
    <row r="188" ht="15.75" customHeight="1">
      <c r="B188" s="73"/>
      <c r="C188" s="73"/>
    </row>
    <row r="189" ht="15.75" customHeight="1">
      <c r="B189" s="73"/>
      <c r="C189" s="73"/>
    </row>
    <row r="190" ht="15.75" customHeight="1">
      <c r="B190" s="73"/>
      <c r="C190" s="73"/>
    </row>
    <row r="191" ht="15.75" customHeight="1">
      <c r="B191" s="73"/>
      <c r="C191" s="73"/>
    </row>
    <row r="192" ht="15.75" customHeight="1">
      <c r="B192" s="73"/>
      <c r="C192" s="73"/>
    </row>
    <row r="193" ht="15.75" customHeight="1">
      <c r="B193" s="73"/>
      <c r="C193" s="73"/>
    </row>
    <row r="194" ht="15.75" customHeight="1">
      <c r="B194" s="73"/>
      <c r="C194" s="73"/>
    </row>
    <row r="195" ht="15.75" customHeight="1">
      <c r="B195" s="73"/>
      <c r="C195" s="73"/>
    </row>
    <row r="196" ht="15.75" customHeight="1">
      <c r="B196" s="73"/>
      <c r="C196" s="73"/>
    </row>
    <row r="197" ht="15.75" customHeight="1">
      <c r="B197" s="73"/>
      <c r="C197" s="73"/>
    </row>
    <row r="198" ht="15.75" customHeight="1">
      <c r="B198" s="73"/>
      <c r="C198" s="73"/>
    </row>
    <row r="199" ht="15.75" customHeight="1">
      <c r="B199" s="73"/>
      <c r="C199" s="73"/>
    </row>
    <row r="200" ht="15.75" customHeight="1">
      <c r="B200" s="73"/>
      <c r="C200" s="73"/>
    </row>
    <row r="201" ht="15.75" customHeight="1">
      <c r="B201" s="73"/>
      <c r="C201" s="73"/>
    </row>
    <row r="202" ht="15.75" customHeight="1">
      <c r="B202" s="73"/>
      <c r="C202" s="73"/>
    </row>
    <row r="203" ht="15.75" customHeight="1">
      <c r="B203" s="73"/>
      <c r="C203" s="73"/>
    </row>
    <row r="204" ht="15.75" customHeight="1">
      <c r="B204" s="73"/>
      <c r="C204" s="73"/>
    </row>
    <row r="205" ht="15.75" customHeight="1">
      <c r="B205" s="73"/>
      <c r="C205" s="73"/>
    </row>
    <row r="206" ht="15.75" customHeight="1">
      <c r="B206" s="73"/>
      <c r="C206" s="73"/>
    </row>
    <row r="207" ht="15.75" customHeight="1">
      <c r="B207" s="73"/>
      <c r="C207" s="73"/>
    </row>
    <row r="208" ht="15.75" customHeight="1">
      <c r="B208" s="73"/>
      <c r="C208" s="73"/>
    </row>
    <row r="209" ht="15.75" customHeight="1">
      <c r="B209" s="73"/>
      <c r="C209" s="73"/>
    </row>
    <row r="210" ht="15.75" customHeight="1">
      <c r="B210" s="73"/>
      <c r="C210" s="73"/>
    </row>
    <row r="211" ht="15.75" customHeight="1">
      <c r="B211" s="73"/>
      <c r="C211" s="73"/>
    </row>
    <row r="212" ht="15.75" customHeight="1">
      <c r="B212" s="73"/>
      <c r="C212" s="73"/>
    </row>
    <row r="213" ht="15.75" customHeight="1">
      <c r="B213" s="73"/>
      <c r="C213" s="73"/>
    </row>
    <row r="214" ht="15.75" customHeight="1">
      <c r="B214" s="73"/>
      <c r="C214" s="73"/>
    </row>
    <row r="215" ht="15.75" customHeight="1">
      <c r="B215" s="73"/>
      <c r="C215" s="73"/>
    </row>
    <row r="216" ht="15.75" customHeight="1">
      <c r="B216" s="73"/>
      <c r="C216" s="73"/>
    </row>
    <row r="217" ht="15.75" customHeight="1">
      <c r="B217" s="73"/>
      <c r="C217" s="73"/>
    </row>
    <row r="218" ht="15.75" customHeight="1">
      <c r="B218" s="73"/>
      <c r="C218" s="73"/>
    </row>
    <row r="219" ht="15.75" customHeight="1">
      <c r="B219" s="73"/>
      <c r="C219" s="73"/>
    </row>
    <row r="220" ht="15.75" customHeight="1">
      <c r="B220" s="73"/>
      <c r="C220" s="73"/>
    </row>
    <row r="221" ht="15.75" customHeight="1">
      <c r="B221" s="73"/>
      <c r="C221" s="73"/>
    </row>
    <row r="222" ht="15.75" customHeight="1">
      <c r="B222" s="73"/>
      <c r="C222" s="73"/>
    </row>
    <row r="223" ht="15.75" customHeight="1">
      <c r="B223" s="73"/>
      <c r="C223" s="73"/>
    </row>
    <row r="224" ht="15.75" customHeight="1">
      <c r="B224" s="73"/>
      <c r="C224" s="73"/>
    </row>
    <row r="225" ht="15.75" customHeight="1">
      <c r="B225" s="73"/>
      <c r="C225" s="73"/>
    </row>
    <row r="226" ht="15.75" customHeight="1">
      <c r="B226" s="73"/>
      <c r="C226" s="73"/>
    </row>
    <row r="227" ht="15.75" customHeight="1">
      <c r="B227" s="73"/>
      <c r="C227" s="73"/>
    </row>
    <row r="228" ht="15.75" customHeight="1">
      <c r="B228" s="73"/>
      <c r="C228" s="73"/>
    </row>
    <row r="229" ht="15.75" customHeight="1">
      <c r="B229" s="73"/>
      <c r="C229" s="73"/>
    </row>
    <row r="230" ht="15.75" customHeight="1">
      <c r="B230" s="73"/>
      <c r="C230" s="73"/>
    </row>
    <row r="231" ht="15.75" customHeight="1">
      <c r="B231" s="73"/>
      <c r="C231" s="73"/>
    </row>
    <row r="232" ht="15.75" customHeight="1">
      <c r="B232" s="73"/>
      <c r="C232" s="73"/>
    </row>
    <row r="233" ht="15.75" customHeight="1">
      <c r="B233" s="73"/>
      <c r="C233" s="73"/>
    </row>
    <row r="234" ht="15.75" customHeight="1">
      <c r="B234" s="73"/>
      <c r="C234" s="73"/>
    </row>
    <row r="235" ht="15.75" customHeight="1">
      <c r="B235" s="73"/>
      <c r="C235" s="73"/>
    </row>
    <row r="236" ht="15.75" customHeight="1">
      <c r="B236" s="73"/>
      <c r="C236" s="73"/>
    </row>
    <row r="237" ht="15.75" customHeight="1">
      <c r="B237" s="73"/>
      <c r="C237" s="73"/>
    </row>
    <row r="238" ht="15.75" customHeight="1">
      <c r="B238" s="73"/>
      <c r="C238" s="73"/>
    </row>
    <row r="239" ht="15.75" customHeight="1">
      <c r="B239" s="73"/>
      <c r="C239" s="73"/>
    </row>
    <row r="240" ht="15.75" customHeight="1">
      <c r="B240" s="73"/>
      <c r="C240" s="73"/>
    </row>
    <row r="241" ht="15.75" customHeight="1">
      <c r="B241" s="73"/>
      <c r="C241" s="73"/>
    </row>
    <row r="242" ht="15.75" customHeight="1">
      <c r="B242" s="73"/>
      <c r="C242" s="73"/>
    </row>
    <row r="243" ht="15.75" customHeight="1">
      <c r="B243" s="73"/>
      <c r="C243" s="73"/>
    </row>
    <row r="244" ht="15.75" customHeight="1">
      <c r="B244" s="73"/>
      <c r="C244" s="73"/>
    </row>
    <row r="245" ht="15.75" customHeight="1">
      <c r="B245" s="73"/>
      <c r="C245" s="73"/>
    </row>
    <row r="246" ht="15.75" customHeight="1">
      <c r="B246" s="73"/>
      <c r="C246" s="73"/>
    </row>
    <row r="247" ht="15.75" customHeight="1">
      <c r="B247" s="73"/>
      <c r="C247" s="73"/>
    </row>
    <row r="248" ht="15.75" customHeight="1">
      <c r="B248" s="73"/>
      <c r="C248" s="73"/>
    </row>
    <row r="249" ht="15.75" customHeight="1">
      <c r="B249" s="73"/>
      <c r="C249" s="73"/>
    </row>
    <row r="250" ht="15.75" customHeight="1">
      <c r="B250" s="73"/>
      <c r="C250" s="73"/>
    </row>
    <row r="251" ht="15.75" customHeight="1">
      <c r="B251" s="73"/>
      <c r="C251" s="73"/>
    </row>
    <row r="252" ht="15.75" customHeight="1">
      <c r="B252" s="73"/>
      <c r="C252" s="73"/>
    </row>
    <row r="253" ht="15.75" customHeight="1">
      <c r="B253" s="73"/>
      <c r="C253" s="73"/>
    </row>
    <row r="254" ht="15.75" customHeight="1">
      <c r="B254" s="73"/>
      <c r="C254" s="73"/>
    </row>
    <row r="255" ht="15.75" customHeight="1">
      <c r="B255" s="73"/>
      <c r="C255" s="73"/>
    </row>
    <row r="256" ht="15.75" customHeight="1">
      <c r="B256" s="73"/>
      <c r="C256" s="73"/>
    </row>
    <row r="257" ht="15.75" customHeight="1">
      <c r="B257" s="73"/>
      <c r="C257" s="73"/>
    </row>
    <row r="258" ht="15.75" customHeight="1">
      <c r="B258" s="73"/>
      <c r="C258" s="73"/>
    </row>
    <row r="259" ht="15.75" customHeight="1">
      <c r="B259" s="73"/>
      <c r="C259" s="73"/>
    </row>
    <row r="260" ht="15.75" customHeight="1">
      <c r="B260" s="73"/>
      <c r="C260" s="73"/>
    </row>
    <row r="261" ht="15.75" customHeight="1">
      <c r="B261" s="73"/>
      <c r="C261" s="73"/>
    </row>
    <row r="262" ht="15.75" customHeight="1">
      <c r="B262" s="73"/>
      <c r="C262" s="73"/>
    </row>
    <row r="263" ht="15.75" customHeight="1">
      <c r="B263" s="73"/>
      <c r="C263" s="73"/>
    </row>
    <row r="264" ht="15.75" customHeight="1">
      <c r="B264" s="73"/>
      <c r="C264" s="73"/>
    </row>
    <row r="265" ht="15.75" customHeight="1">
      <c r="B265" s="73"/>
      <c r="C265" s="73"/>
    </row>
    <row r="266" ht="15.75" customHeight="1">
      <c r="B266" s="73"/>
      <c r="C266" s="73"/>
    </row>
    <row r="267" ht="15.75" customHeight="1">
      <c r="B267" s="73"/>
      <c r="C267" s="73"/>
    </row>
    <row r="268" ht="15.75" customHeight="1">
      <c r="B268" s="73"/>
      <c r="C268" s="73"/>
    </row>
    <row r="269" ht="15.75" customHeight="1">
      <c r="B269" s="73"/>
      <c r="C269" s="73"/>
    </row>
    <row r="270" ht="15.75" customHeight="1">
      <c r="B270" s="73"/>
      <c r="C270" s="73"/>
    </row>
    <row r="271" ht="15.75" customHeight="1">
      <c r="B271" s="73"/>
      <c r="C271" s="73"/>
    </row>
    <row r="272" ht="15.75" customHeight="1">
      <c r="B272" s="73"/>
      <c r="C272" s="73"/>
    </row>
    <row r="273" ht="15.75" customHeight="1">
      <c r="B273" s="73"/>
      <c r="C273" s="73"/>
    </row>
    <row r="274" ht="15.75" customHeight="1">
      <c r="B274" s="73"/>
      <c r="C274" s="73"/>
    </row>
    <row r="275" ht="15.75" customHeight="1">
      <c r="B275" s="73"/>
      <c r="C275" s="73"/>
    </row>
    <row r="276" ht="15.75" customHeight="1">
      <c r="B276" s="73"/>
      <c r="C276" s="73"/>
    </row>
    <row r="277" ht="15.75" customHeight="1">
      <c r="B277" s="73"/>
      <c r="C277" s="73"/>
    </row>
    <row r="278" ht="15.75" customHeight="1">
      <c r="B278" s="73"/>
      <c r="C278" s="73"/>
    </row>
    <row r="279" ht="15.75" customHeight="1">
      <c r="B279" s="73"/>
      <c r="C279" s="73"/>
    </row>
    <row r="280" ht="15.75" customHeight="1">
      <c r="B280" s="73"/>
      <c r="C280" s="73"/>
    </row>
    <row r="281" ht="15.75" customHeight="1">
      <c r="B281" s="73"/>
      <c r="C281" s="73"/>
    </row>
    <row r="282" ht="15.75" customHeight="1">
      <c r="B282" s="73"/>
      <c r="C282" s="73"/>
    </row>
    <row r="283" ht="15.75" customHeight="1">
      <c r="B283" s="73"/>
      <c r="C283" s="73"/>
    </row>
    <row r="284" ht="15.75" customHeight="1">
      <c r="B284" s="73"/>
      <c r="C284" s="73"/>
    </row>
    <row r="285" ht="15.75" customHeight="1">
      <c r="B285" s="73"/>
      <c r="C285" s="73"/>
    </row>
    <row r="286" ht="15.75" customHeight="1">
      <c r="B286" s="73"/>
      <c r="C286" s="73"/>
    </row>
    <row r="287" ht="15.75" customHeight="1">
      <c r="B287" s="73"/>
      <c r="C287" s="73"/>
    </row>
    <row r="288" ht="15.75" customHeight="1">
      <c r="B288" s="73"/>
      <c r="C288" s="73"/>
    </row>
    <row r="289" ht="15.75" customHeight="1">
      <c r="B289" s="73"/>
      <c r="C289" s="73"/>
    </row>
    <row r="290" ht="15.75" customHeight="1">
      <c r="B290" s="73"/>
      <c r="C290" s="73"/>
    </row>
    <row r="291" ht="15.75" customHeight="1">
      <c r="B291" s="73"/>
      <c r="C291" s="73"/>
    </row>
    <row r="292" ht="15.75" customHeight="1">
      <c r="B292" s="73"/>
      <c r="C292" s="73"/>
    </row>
    <row r="293" ht="15.75" customHeight="1">
      <c r="B293" s="73"/>
      <c r="C293" s="73"/>
    </row>
    <row r="294" ht="15.75" customHeight="1">
      <c r="B294" s="73"/>
      <c r="C294" s="73"/>
    </row>
    <row r="295" ht="15.75" customHeight="1">
      <c r="B295" s="73"/>
      <c r="C295" s="73"/>
    </row>
    <row r="296" ht="15.75" customHeight="1">
      <c r="B296" s="73"/>
      <c r="C296" s="73"/>
    </row>
    <row r="297" ht="15.75" customHeight="1">
      <c r="B297" s="73"/>
      <c r="C297" s="73"/>
    </row>
    <row r="298" ht="15.75" customHeight="1">
      <c r="B298" s="73"/>
      <c r="C298" s="73"/>
    </row>
    <row r="299" ht="15.75" customHeight="1">
      <c r="B299" s="73"/>
      <c r="C299" s="73"/>
    </row>
    <row r="300" ht="15.75" customHeight="1">
      <c r="B300" s="73"/>
      <c r="C300" s="73"/>
    </row>
    <row r="301" ht="15.75" customHeight="1">
      <c r="B301" s="73"/>
      <c r="C301" s="73"/>
    </row>
    <row r="302" ht="15.75" customHeight="1">
      <c r="B302" s="73"/>
      <c r="C302" s="73"/>
    </row>
    <row r="303" ht="15.75" customHeight="1">
      <c r="B303" s="73"/>
      <c r="C303" s="73"/>
    </row>
    <row r="304" ht="15.75" customHeight="1">
      <c r="B304" s="73"/>
      <c r="C304" s="73"/>
    </row>
    <row r="305" ht="15.75" customHeight="1">
      <c r="B305" s="73"/>
      <c r="C305" s="73"/>
    </row>
    <row r="306" ht="15.75" customHeight="1">
      <c r="B306" s="73"/>
      <c r="C306" s="73"/>
    </row>
    <row r="307" ht="15.75" customHeight="1">
      <c r="B307" s="73"/>
      <c r="C307" s="73"/>
    </row>
    <row r="308" ht="15.75" customHeight="1">
      <c r="B308" s="73"/>
      <c r="C308" s="73"/>
    </row>
    <row r="309" ht="15.75" customHeight="1">
      <c r="B309" s="73"/>
      <c r="C309" s="73"/>
    </row>
    <row r="310" ht="15.75" customHeight="1">
      <c r="B310" s="73"/>
      <c r="C310" s="73"/>
    </row>
    <row r="311" ht="15.75" customHeight="1">
      <c r="B311" s="73"/>
      <c r="C311" s="73"/>
    </row>
    <row r="312" ht="15.75" customHeight="1">
      <c r="B312" s="73"/>
      <c r="C312" s="73"/>
    </row>
    <row r="313" ht="15.75" customHeight="1">
      <c r="B313" s="73"/>
      <c r="C313" s="73"/>
    </row>
    <row r="314" ht="15.75" customHeight="1">
      <c r="B314" s="73"/>
      <c r="C314" s="73"/>
    </row>
    <row r="315" ht="15.75" customHeight="1">
      <c r="B315" s="73"/>
      <c r="C315" s="73"/>
    </row>
    <row r="316" ht="15.75" customHeight="1">
      <c r="B316" s="73"/>
      <c r="C316" s="73"/>
    </row>
    <row r="317" ht="15.75" customHeight="1">
      <c r="B317" s="73"/>
      <c r="C317" s="73"/>
    </row>
    <row r="318" ht="15.75" customHeight="1">
      <c r="B318" s="73"/>
      <c r="C318" s="73"/>
    </row>
    <row r="319" ht="15.75" customHeight="1">
      <c r="B319" s="73"/>
      <c r="C319" s="73"/>
    </row>
    <row r="320" ht="15.75" customHeight="1">
      <c r="B320" s="73"/>
      <c r="C320" s="73"/>
    </row>
    <row r="321" ht="15.75" customHeight="1">
      <c r="B321" s="73"/>
      <c r="C321" s="73"/>
    </row>
    <row r="322" ht="15.75" customHeight="1">
      <c r="B322" s="73"/>
      <c r="C322" s="73"/>
    </row>
    <row r="323" ht="15.75" customHeight="1">
      <c r="B323" s="73"/>
      <c r="C323" s="73"/>
    </row>
    <row r="324" ht="15.75" customHeight="1">
      <c r="B324" s="73"/>
      <c r="C324" s="73"/>
    </row>
    <row r="325" ht="15.75" customHeight="1">
      <c r="B325" s="73"/>
      <c r="C325" s="73"/>
    </row>
    <row r="326" ht="15.75" customHeight="1">
      <c r="B326" s="73"/>
      <c r="C326" s="73"/>
    </row>
    <row r="327" ht="15.75" customHeight="1">
      <c r="B327" s="73"/>
      <c r="C327" s="73"/>
    </row>
    <row r="328" ht="15.75" customHeight="1">
      <c r="B328" s="73"/>
      <c r="C328" s="73"/>
    </row>
    <row r="329" ht="15.75" customHeight="1">
      <c r="B329" s="73"/>
      <c r="C329" s="73"/>
    </row>
    <row r="330" ht="15.75" customHeight="1">
      <c r="B330" s="73"/>
      <c r="C330" s="73"/>
    </row>
    <row r="331" ht="15.75" customHeight="1">
      <c r="B331" s="73"/>
      <c r="C331" s="73"/>
    </row>
    <row r="332" ht="15.75" customHeight="1">
      <c r="B332" s="73"/>
      <c r="C332" s="73"/>
    </row>
    <row r="333" ht="15.75" customHeight="1">
      <c r="B333" s="73"/>
      <c r="C333" s="73"/>
    </row>
    <row r="334" ht="15.75" customHeight="1">
      <c r="B334" s="73"/>
      <c r="C334" s="73"/>
    </row>
    <row r="335" ht="15.75" customHeight="1">
      <c r="B335" s="73"/>
      <c r="C335" s="73"/>
    </row>
    <row r="336" ht="15.75" customHeight="1">
      <c r="B336" s="73"/>
      <c r="C336" s="73"/>
    </row>
    <row r="337" ht="15.75" customHeight="1">
      <c r="B337" s="73"/>
      <c r="C337" s="73"/>
    </row>
    <row r="338" ht="15.75" customHeight="1">
      <c r="B338" s="73"/>
      <c r="C338" s="73"/>
    </row>
    <row r="339" ht="15.75" customHeight="1">
      <c r="B339" s="73"/>
      <c r="C339" s="73"/>
    </row>
    <row r="340" ht="15.75" customHeight="1">
      <c r="B340" s="73"/>
      <c r="C340" s="73"/>
    </row>
    <row r="341" ht="15.75" customHeight="1">
      <c r="B341" s="73"/>
      <c r="C341" s="73"/>
    </row>
    <row r="342" ht="15.75" customHeight="1">
      <c r="B342" s="73"/>
      <c r="C342" s="73"/>
    </row>
    <row r="343" ht="15.75" customHeight="1">
      <c r="B343" s="73"/>
      <c r="C343" s="73"/>
    </row>
    <row r="344" ht="15.75" customHeight="1">
      <c r="B344" s="73"/>
      <c r="C344" s="73"/>
    </row>
    <row r="345" ht="15.75" customHeight="1">
      <c r="B345" s="73"/>
      <c r="C345" s="73"/>
    </row>
    <row r="346" ht="15.75" customHeight="1">
      <c r="B346" s="73"/>
      <c r="C346" s="73"/>
    </row>
    <row r="347" ht="15.75" customHeight="1">
      <c r="B347" s="73"/>
      <c r="C347" s="73"/>
    </row>
    <row r="348" ht="15.75" customHeight="1">
      <c r="B348" s="73"/>
      <c r="C348" s="73"/>
    </row>
    <row r="349" ht="15.75" customHeight="1">
      <c r="B349" s="73"/>
      <c r="C349" s="73"/>
    </row>
    <row r="350" ht="15.75" customHeight="1">
      <c r="B350" s="73"/>
      <c r="C350" s="73"/>
    </row>
    <row r="351" ht="15.75" customHeight="1">
      <c r="B351" s="73"/>
      <c r="C351" s="73"/>
    </row>
    <row r="352" ht="15.75" customHeight="1">
      <c r="B352" s="73"/>
      <c r="C352" s="73"/>
    </row>
    <row r="353" ht="15.75" customHeight="1">
      <c r="B353" s="73"/>
      <c r="C353" s="73"/>
    </row>
    <row r="354" ht="15.75" customHeight="1">
      <c r="B354" s="73"/>
      <c r="C354" s="73"/>
    </row>
    <row r="355" ht="15.75" customHeight="1">
      <c r="B355" s="73"/>
      <c r="C355" s="73"/>
    </row>
    <row r="356" ht="15.75" customHeight="1">
      <c r="B356" s="73"/>
      <c r="C356" s="73"/>
    </row>
    <row r="357" ht="15.75" customHeight="1">
      <c r="B357" s="73"/>
      <c r="C357" s="73"/>
    </row>
    <row r="358" ht="15.75" customHeight="1">
      <c r="B358" s="73"/>
      <c r="C358" s="73"/>
    </row>
    <row r="359" ht="15.75" customHeight="1">
      <c r="B359" s="73"/>
      <c r="C359" s="73"/>
    </row>
    <row r="360" ht="15.75" customHeight="1">
      <c r="B360" s="73"/>
      <c r="C360" s="73"/>
    </row>
    <row r="361" ht="15.75" customHeight="1">
      <c r="B361" s="73"/>
      <c r="C361" s="73"/>
    </row>
    <row r="362" ht="15.75" customHeight="1">
      <c r="B362" s="73"/>
      <c r="C362" s="73"/>
    </row>
    <row r="363" ht="15.75" customHeight="1">
      <c r="B363" s="73"/>
      <c r="C363" s="73"/>
    </row>
    <row r="364" ht="15.75" customHeight="1">
      <c r="B364" s="73"/>
      <c r="C364" s="73"/>
    </row>
    <row r="365" ht="15.75" customHeight="1">
      <c r="B365" s="73"/>
      <c r="C365" s="73"/>
    </row>
    <row r="366" ht="15.75" customHeight="1">
      <c r="B366" s="73"/>
      <c r="C366" s="73"/>
    </row>
    <row r="367" ht="15.75" customHeight="1">
      <c r="B367" s="73"/>
      <c r="C367" s="73"/>
    </row>
    <row r="368" ht="15.75" customHeight="1">
      <c r="B368" s="73"/>
      <c r="C368" s="73"/>
    </row>
    <row r="369" ht="15.75" customHeight="1">
      <c r="B369" s="73"/>
      <c r="C369" s="73"/>
    </row>
    <row r="370" ht="15.75" customHeight="1">
      <c r="B370" s="73"/>
      <c r="C370" s="73"/>
    </row>
    <row r="371" ht="15.75" customHeight="1">
      <c r="B371" s="73"/>
      <c r="C371" s="73"/>
    </row>
    <row r="372" ht="15.75" customHeight="1">
      <c r="B372" s="73"/>
      <c r="C372" s="73"/>
    </row>
    <row r="373" ht="15.75" customHeight="1">
      <c r="B373" s="73"/>
      <c r="C373" s="73"/>
    </row>
    <row r="374" ht="15.75" customHeight="1">
      <c r="B374" s="73"/>
      <c r="C374" s="73"/>
    </row>
    <row r="375" ht="15.75" customHeight="1">
      <c r="B375" s="73"/>
      <c r="C375" s="73"/>
    </row>
    <row r="376" ht="15.75" customHeight="1">
      <c r="B376" s="73"/>
      <c r="C376" s="73"/>
    </row>
    <row r="377" ht="15.75" customHeight="1">
      <c r="B377" s="73"/>
      <c r="C377" s="73"/>
    </row>
    <row r="378" ht="15.75" customHeight="1">
      <c r="B378" s="73"/>
      <c r="C378" s="73"/>
    </row>
    <row r="379" ht="15.75" customHeight="1">
      <c r="B379" s="73"/>
      <c r="C379" s="73"/>
    </row>
    <row r="380" ht="15.75" customHeight="1">
      <c r="B380" s="73"/>
      <c r="C380" s="73"/>
    </row>
    <row r="381" ht="15.75" customHeight="1">
      <c r="B381" s="73"/>
      <c r="C381" s="73"/>
    </row>
    <row r="382" ht="15.75" customHeight="1">
      <c r="B382" s="73"/>
      <c r="C382" s="73"/>
    </row>
    <row r="383" ht="15.75" customHeight="1">
      <c r="B383" s="73"/>
      <c r="C383" s="73"/>
    </row>
    <row r="384" ht="15.75" customHeight="1">
      <c r="B384" s="73"/>
      <c r="C384" s="73"/>
    </row>
    <row r="385" ht="15.75" customHeight="1">
      <c r="B385" s="73"/>
      <c r="C385" s="73"/>
    </row>
    <row r="386" ht="15.75" customHeight="1">
      <c r="B386" s="73"/>
      <c r="C386" s="73"/>
    </row>
    <row r="387" ht="15.75" customHeight="1">
      <c r="B387" s="73"/>
      <c r="C387" s="73"/>
    </row>
    <row r="388" ht="15.75" customHeight="1">
      <c r="B388" s="73"/>
      <c r="C388" s="73"/>
    </row>
    <row r="389" ht="15.75" customHeight="1">
      <c r="B389" s="73"/>
      <c r="C389" s="73"/>
    </row>
    <row r="390" ht="15.75" customHeight="1">
      <c r="B390" s="73"/>
      <c r="C390" s="73"/>
    </row>
    <row r="391" ht="15.75" customHeight="1">
      <c r="B391" s="73"/>
      <c r="C391" s="73"/>
    </row>
    <row r="392" ht="15.75" customHeight="1">
      <c r="B392" s="73"/>
      <c r="C392" s="73"/>
    </row>
    <row r="393" ht="15.75" customHeight="1">
      <c r="B393" s="73"/>
      <c r="C393" s="73"/>
    </row>
    <row r="394" ht="15.75" customHeight="1">
      <c r="B394" s="73"/>
      <c r="C394" s="73"/>
    </row>
    <row r="395" ht="15.75" customHeight="1">
      <c r="B395" s="73"/>
      <c r="C395" s="73"/>
    </row>
    <row r="396" ht="15.75" customHeight="1">
      <c r="B396" s="73"/>
      <c r="C396" s="73"/>
    </row>
    <row r="397" ht="15.75" customHeight="1">
      <c r="B397" s="73"/>
      <c r="C397" s="73"/>
    </row>
    <row r="398" ht="15.75" customHeight="1">
      <c r="B398" s="73"/>
      <c r="C398" s="73"/>
    </row>
    <row r="399" ht="15.75" customHeight="1">
      <c r="B399" s="73"/>
      <c r="C399" s="73"/>
    </row>
    <row r="400" ht="15.75" customHeight="1">
      <c r="B400" s="73"/>
      <c r="C400" s="73"/>
    </row>
    <row r="401" ht="15.75" customHeight="1">
      <c r="B401" s="73"/>
      <c r="C401" s="73"/>
    </row>
    <row r="402" ht="15.75" customHeight="1">
      <c r="B402" s="73"/>
      <c r="C402" s="73"/>
    </row>
    <row r="403" ht="15.75" customHeight="1">
      <c r="B403" s="73"/>
      <c r="C403" s="73"/>
    </row>
    <row r="404" ht="15.75" customHeight="1">
      <c r="B404" s="73"/>
      <c r="C404" s="73"/>
    </row>
    <row r="405" ht="15.75" customHeight="1">
      <c r="B405" s="73"/>
      <c r="C405" s="73"/>
    </row>
    <row r="406" ht="15.75" customHeight="1">
      <c r="B406" s="73"/>
      <c r="C406" s="73"/>
    </row>
    <row r="407" ht="15.75" customHeight="1">
      <c r="B407" s="73"/>
      <c r="C407" s="73"/>
    </row>
    <row r="408" ht="15.75" customHeight="1">
      <c r="B408" s="73"/>
      <c r="C408" s="73"/>
    </row>
    <row r="409" ht="15.75" customHeight="1">
      <c r="B409" s="73"/>
      <c r="C409" s="73"/>
    </row>
    <row r="410" ht="15.75" customHeight="1">
      <c r="B410" s="73"/>
      <c r="C410" s="73"/>
    </row>
    <row r="411" ht="15.75" customHeight="1">
      <c r="B411" s="73"/>
      <c r="C411" s="73"/>
    </row>
    <row r="412" ht="15.75" customHeight="1">
      <c r="B412" s="73"/>
      <c r="C412" s="73"/>
    </row>
    <row r="413" ht="15.75" customHeight="1">
      <c r="B413" s="73"/>
      <c r="C413" s="73"/>
    </row>
    <row r="414" ht="15.75" customHeight="1">
      <c r="B414" s="73"/>
      <c r="C414" s="73"/>
    </row>
    <row r="415" ht="15.75" customHeight="1">
      <c r="B415" s="73"/>
      <c r="C415" s="73"/>
    </row>
    <row r="416" ht="15.75" customHeight="1">
      <c r="B416" s="73"/>
      <c r="C416" s="73"/>
    </row>
    <row r="417" ht="15.75" customHeight="1">
      <c r="B417" s="73"/>
      <c r="C417" s="73"/>
    </row>
    <row r="418" ht="15.75" customHeight="1">
      <c r="B418" s="73"/>
      <c r="C418" s="73"/>
    </row>
    <row r="419" ht="15.75" customHeight="1">
      <c r="B419" s="73"/>
      <c r="C419" s="73"/>
    </row>
    <row r="420" ht="15.75" customHeight="1">
      <c r="B420" s="73"/>
      <c r="C420" s="73"/>
    </row>
    <row r="421" ht="15.75" customHeight="1">
      <c r="B421" s="73"/>
      <c r="C421" s="73"/>
    </row>
    <row r="422" ht="15.75" customHeight="1">
      <c r="B422" s="73"/>
      <c r="C422" s="73"/>
    </row>
    <row r="423" ht="15.75" customHeight="1">
      <c r="B423" s="73"/>
      <c r="C423" s="73"/>
    </row>
    <row r="424" ht="15.75" customHeight="1">
      <c r="B424" s="73"/>
      <c r="C424" s="73"/>
    </row>
    <row r="425" ht="15.75" customHeight="1">
      <c r="B425" s="73"/>
      <c r="C425" s="73"/>
    </row>
    <row r="426" ht="15.75" customHeight="1">
      <c r="B426" s="73"/>
      <c r="C426" s="73"/>
    </row>
    <row r="427" ht="15.75" customHeight="1">
      <c r="B427" s="73"/>
      <c r="C427" s="73"/>
    </row>
    <row r="428" ht="15.75" customHeight="1">
      <c r="B428" s="73"/>
      <c r="C428" s="73"/>
    </row>
    <row r="429" ht="15.75" customHeight="1">
      <c r="B429" s="73"/>
      <c r="C429" s="73"/>
    </row>
    <row r="430" ht="15.75" customHeight="1">
      <c r="B430" s="73"/>
      <c r="C430" s="73"/>
    </row>
    <row r="431" ht="15.75" customHeight="1">
      <c r="B431" s="73"/>
      <c r="C431" s="73"/>
    </row>
    <row r="432" ht="15.75" customHeight="1">
      <c r="B432" s="73"/>
      <c r="C432" s="73"/>
    </row>
    <row r="433" ht="15.75" customHeight="1">
      <c r="B433" s="73"/>
      <c r="C433" s="73"/>
    </row>
    <row r="434" ht="15.75" customHeight="1">
      <c r="B434" s="73"/>
      <c r="C434" s="73"/>
    </row>
    <row r="435" ht="15.75" customHeight="1">
      <c r="B435" s="73"/>
      <c r="C435" s="73"/>
    </row>
    <row r="436" ht="15.75" customHeight="1">
      <c r="B436" s="73"/>
      <c r="C436" s="73"/>
    </row>
    <row r="437" ht="15.75" customHeight="1">
      <c r="B437" s="73"/>
      <c r="C437" s="73"/>
    </row>
    <row r="438" ht="15.75" customHeight="1">
      <c r="B438" s="73"/>
      <c r="C438" s="73"/>
    </row>
    <row r="439" ht="15.75" customHeight="1">
      <c r="B439" s="73"/>
      <c r="C439" s="73"/>
    </row>
    <row r="440" ht="15.75" customHeight="1">
      <c r="B440" s="73"/>
      <c r="C440" s="73"/>
    </row>
    <row r="441" ht="15.75" customHeight="1">
      <c r="B441" s="73"/>
      <c r="C441" s="73"/>
    </row>
    <row r="442" ht="15.75" customHeight="1">
      <c r="B442" s="73"/>
      <c r="C442" s="73"/>
    </row>
    <row r="443" ht="15.75" customHeight="1">
      <c r="B443" s="73"/>
      <c r="C443" s="73"/>
    </row>
    <row r="444" ht="15.75" customHeight="1">
      <c r="B444" s="73"/>
      <c r="C444" s="73"/>
    </row>
    <row r="445" ht="15.75" customHeight="1">
      <c r="B445" s="73"/>
      <c r="C445" s="73"/>
    </row>
    <row r="446" ht="15.75" customHeight="1">
      <c r="B446" s="73"/>
      <c r="C446" s="73"/>
    </row>
    <row r="447" ht="15.75" customHeight="1">
      <c r="B447" s="73"/>
      <c r="C447" s="73"/>
    </row>
    <row r="448" ht="15.75" customHeight="1">
      <c r="B448" s="73"/>
      <c r="C448" s="73"/>
    </row>
    <row r="449" ht="15.75" customHeight="1">
      <c r="B449" s="73"/>
      <c r="C449" s="73"/>
    </row>
    <row r="450" ht="15.75" customHeight="1">
      <c r="B450" s="73"/>
      <c r="C450" s="73"/>
    </row>
    <row r="451" ht="15.75" customHeight="1">
      <c r="B451" s="73"/>
      <c r="C451" s="73"/>
    </row>
    <row r="452" ht="15.75" customHeight="1">
      <c r="B452" s="73"/>
      <c r="C452" s="73"/>
    </row>
    <row r="453" ht="15.75" customHeight="1">
      <c r="B453" s="73"/>
      <c r="C453" s="73"/>
    </row>
    <row r="454" ht="15.75" customHeight="1">
      <c r="B454" s="73"/>
      <c r="C454" s="73"/>
    </row>
    <row r="455" ht="15.75" customHeight="1">
      <c r="B455" s="73"/>
      <c r="C455" s="73"/>
    </row>
    <row r="456" ht="15.75" customHeight="1">
      <c r="B456" s="73"/>
      <c r="C456" s="73"/>
    </row>
    <row r="457" ht="15.75" customHeight="1">
      <c r="B457" s="73"/>
      <c r="C457" s="73"/>
    </row>
    <row r="458" ht="15.75" customHeight="1">
      <c r="B458" s="73"/>
      <c r="C458" s="73"/>
    </row>
    <row r="459" ht="15.75" customHeight="1">
      <c r="B459" s="73"/>
      <c r="C459" s="73"/>
    </row>
    <row r="460" ht="15.75" customHeight="1">
      <c r="B460" s="73"/>
      <c r="C460" s="73"/>
    </row>
    <row r="461" ht="15.75" customHeight="1">
      <c r="B461" s="73"/>
      <c r="C461" s="73"/>
    </row>
    <row r="462" ht="15.75" customHeight="1">
      <c r="B462" s="73"/>
      <c r="C462" s="73"/>
    </row>
    <row r="463" ht="15.75" customHeight="1">
      <c r="B463" s="73"/>
      <c r="C463" s="73"/>
    </row>
    <row r="464" ht="15.75" customHeight="1">
      <c r="B464" s="73"/>
      <c r="C464" s="73"/>
    </row>
    <row r="465" ht="15.75" customHeight="1">
      <c r="B465" s="73"/>
      <c r="C465" s="73"/>
    </row>
    <row r="466" ht="15.75" customHeight="1">
      <c r="B466" s="73"/>
      <c r="C466" s="73"/>
    </row>
    <row r="467" ht="15.75" customHeight="1">
      <c r="B467" s="73"/>
      <c r="C467" s="73"/>
    </row>
    <row r="468" ht="15.75" customHeight="1">
      <c r="B468" s="73"/>
      <c r="C468" s="73"/>
    </row>
    <row r="469" ht="15.75" customHeight="1">
      <c r="B469" s="73"/>
      <c r="C469" s="73"/>
    </row>
    <row r="470" ht="15.75" customHeight="1">
      <c r="B470" s="73"/>
      <c r="C470" s="73"/>
    </row>
    <row r="471" ht="15.75" customHeight="1">
      <c r="B471" s="73"/>
      <c r="C471" s="73"/>
    </row>
    <row r="472" ht="15.75" customHeight="1">
      <c r="B472" s="73"/>
      <c r="C472" s="73"/>
    </row>
    <row r="473" ht="15.75" customHeight="1">
      <c r="B473" s="73"/>
      <c r="C473" s="73"/>
    </row>
    <row r="474" ht="15.75" customHeight="1">
      <c r="B474" s="73"/>
      <c r="C474" s="73"/>
    </row>
    <row r="475" ht="15.75" customHeight="1">
      <c r="B475" s="73"/>
      <c r="C475" s="73"/>
    </row>
    <row r="476" ht="15.75" customHeight="1">
      <c r="B476" s="73"/>
      <c r="C476" s="73"/>
    </row>
    <row r="477" ht="15.75" customHeight="1">
      <c r="B477" s="73"/>
      <c r="C477" s="73"/>
    </row>
    <row r="478" ht="15.75" customHeight="1">
      <c r="B478" s="73"/>
      <c r="C478" s="73"/>
    </row>
    <row r="479" ht="15.75" customHeight="1">
      <c r="B479" s="73"/>
      <c r="C479" s="73"/>
    </row>
    <row r="480" ht="15.75" customHeight="1">
      <c r="B480" s="73"/>
      <c r="C480" s="73"/>
    </row>
    <row r="481" ht="15.75" customHeight="1">
      <c r="B481" s="73"/>
      <c r="C481" s="73"/>
    </row>
    <row r="482" ht="15.75" customHeight="1">
      <c r="B482" s="73"/>
      <c r="C482" s="73"/>
    </row>
    <row r="483" ht="15.75" customHeight="1">
      <c r="B483" s="73"/>
      <c r="C483" s="73"/>
    </row>
    <row r="484" ht="15.75" customHeight="1">
      <c r="B484" s="73"/>
      <c r="C484" s="73"/>
    </row>
    <row r="485" ht="15.75" customHeight="1">
      <c r="B485" s="73"/>
      <c r="C485" s="73"/>
    </row>
    <row r="486" ht="15.75" customHeight="1">
      <c r="B486" s="73"/>
      <c r="C486" s="73"/>
    </row>
    <row r="487" ht="15.75" customHeight="1">
      <c r="B487" s="73"/>
      <c r="C487" s="73"/>
    </row>
    <row r="488" ht="15.75" customHeight="1">
      <c r="B488" s="73"/>
      <c r="C488" s="73"/>
    </row>
    <row r="489" ht="15.75" customHeight="1">
      <c r="B489" s="73"/>
      <c r="C489" s="73"/>
    </row>
    <row r="490" ht="15.75" customHeight="1">
      <c r="B490" s="73"/>
      <c r="C490" s="73"/>
    </row>
    <row r="491" ht="15.75" customHeight="1">
      <c r="B491" s="73"/>
      <c r="C491" s="73"/>
    </row>
    <row r="492" ht="15.75" customHeight="1">
      <c r="B492" s="73"/>
      <c r="C492" s="73"/>
    </row>
    <row r="493" ht="15.75" customHeight="1">
      <c r="B493" s="73"/>
      <c r="C493" s="73"/>
    </row>
    <row r="494" ht="15.75" customHeight="1">
      <c r="B494" s="73"/>
      <c r="C494" s="73"/>
    </row>
    <row r="495" ht="15.75" customHeight="1">
      <c r="B495" s="73"/>
      <c r="C495" s="73"/>
    </row>
    <row r="496" ht="15.75" customHeight="1">
      <c r="B496" s="73"/>
      <c r="C496" s="73"/>
    </row>
    <row r="497" ht="15.75" customHeight="1">
      <c r="B497" s="73"/>
      <c r="C497" s="73"/>
    </row>
    <row r="498" ht="15.75" customHeight="1">
      <c r="B498" s="73"/>
      <c r="C498" s="73"/>
    </row>
    <row r="499" ht="15.75" customHeight="1">
      <c r="B499" s="73"/>
      <c r="C499" s="73"/>
    </row>
    <row r="500" ht="15.75" customHeight="1">
      <c r="B500" s="73"/>
      <c r="C500" s="73"/>
    </row>
    <row r="501" ht="15.75" customHeight="1">
      <c r="B501" s="73"/>
      <c r="C501" s="73"/>
    </row>
    <row r="502" ht="15.75" customHeight="1">
      <c r="B502" s="73"/>
      <c r="C502" s="73"/>
    </row>
    <row r="503" ht="15.75" customHeight="1">
      <c r="B503" s="73"/>
      <c r="C503" s="73"/>
    </row>
    <row r="504" ht="15.75" customHeight="1">
      <c r="B504" s="73"/>
      <c r="C504" s="73"/>
    </row>
    <row r="505" ht="15.75" customHeight="1">
      <c r="B505" s="73"/>
      <c r="C505" s="73"/>
    </row>
    <row r="506" ht="15.75" customHeight="1">
      <c r="B506" s="73"/>
      <c r="C506" s="73"/>
    </row>
    <row r="507" ht="15.75" customHeight="1">
      <c r="B507" s="73"/>
      <c r="C507" s="73"/>
    </row>
    <row r="508" ht="15.75" customHeight="1">
      <c r="B508" s="73"/>
      <c r="C508" s="73"/>
    </row>
    <row r="509" ht="15.75" customHeight="1">
      <c r="B509" s="73"/>
      <c r="C509" s="73"/>
    </row>
    <row r="510" ht="15.75" customHeight="1">
      <c r="B510" s="73"/>
      <c r="C510" s="73"/>
    </row>
    <row r="511" ht="15.75" customHeight="1">
      <c r="B511" s="73"/>
      <c r="C511" s="73"/>
    </row>
    <row r="512" ht="15.75" customHeight="1">
      <c r="B512" s="73"/>
      <c r="C512" s="73"/>
    </row>
    <row r="513" ht="15.75" customHeight="1">
      <c r="B513" s="73"/>
      <c r="C513" s="73"/>
    </row>
    <row r="514" ht="15.75" customHeight="1">
      <c r="B514" s="73"/>
      <c r="C514" s="73"/>
    </row>
    <row r="515" ht="15.75" customHeight="1">
      <c r="B515" s="73"/>
      <c r="C515" s="73"/>
    </row>
    <row r="516" ht="15.75" customHeight="1">
      <c r="B516" s="73"/>
      <c r="C516" s="73"/>
    </row>
    <row r="517" ht="15.75" customHeight="1">
      <c r="B517" s="73"/>
      <c r="C517" s="73"/>
    </row>
    <row r="518" ht="15.75" customHeight="1">
      <c r="B518" s="73"/>
      <c r="C518" s="73"/>
    </row>
    <row r="519" ht="15.75" customHeight="1">
      <c r="B519" s="73"/>
      <c r="C519" s="73"/>
    </row>
    <row r="520" ht="15.75" customHeight="1">
      <c r="B520" s="73"/>
      <c r="C520" s="73"/>
    </row>
    <row r="521" ht="15.75" customHeight="1">
      <c r="B521" s="73"/>
      <c r="C521" s="73"/>
    </row>
    <row r="522" ht="15.75" customHeight="1">
      <c r="B522" s="73"/>
      <c r="C522" s="73"/>
    </row>
    <row r="523" ht="15.75" customHeight="1">
      <c r="B523" s="73"/>
      <c r="C523" s="73"/>
    </row>
    <row r="524" ht="15.75" customHeight="1">
      <c r="B524" s="73"/>
      <c r="C524" s="73"/>
    </row>
    <row r="525" ht="15.75" customHeight="1">
      <c r="B525" s="73"/>
      <c r="C525" s="73"/>
    </row>
    <row r="526" ht="15.75" customHeight="1">
      <c r="B526" s="73"/>
      <c r="C526" s="73"/>
    </row>
    <row r="527" ht="15.75" customHeight="1">
      <c r="B527" s="73"/>
      <c r="C527" s="73"/>
    </row>
    <row r="528" ht="15.75" customHeight="1">
      <c r="B528" s="73"/>
      <c r="C528" s="73"/>
    </row>
    <row r="529" ht="15.75" customHeight="1">
      <c r="B529" s="73"/>
      <c r="C529" s="73"/>
    </row>
    <row r="530" ht="15.75" customHeight="1">
      <c r="B530" s="73"/>
      <c r="C530" s="73"/>
    </row>
    <row r="531" ht="15.75" customHeight="1">
      <c r="B531" s="73"/>
      <c r="C531" s="73"/>
    </row>
    <row r="532" ht="15.75" customHeight="1">
      <c r="B532" s="73"/>
      <c r="C532" s="73"/>
    </row>
    <row r="533" ht="15.75" customHeight="1">
      <c r="B533" s="73"/>
      <c r="C533" s="73"/>
    </row>
    <row r="534" ht="15.75" customHeight="1">
      <c r="B534" s="73"/>
      <c r="C534" s="73"/>
    </row>
    <row r="535" ht="15.75" customHeight="1">
      <c r="B535" s="73"/>
      <c r="C535" s="73"/>
    </row>
    <row r="536" ht="15.75" customHeight="1">
      <c r="B536" s="73"/>
      <c r="C536" s="73"/>
    </row>
    <row r="537" ht="15.75" customHeight="1">
      <c r="B537" s="73"/>
      <c r="C537" s="73"/>
    </row>
    <row r="538" ht="15.75" customHeight="1">
      <c r="B538" s="73"/>
      <c r="C538" s="73"/>
    </row>
    <row r="539" ht="15.75" customHeight="1">
      <c r="B539" s="73"/>
      <c r="C539" s="73"/>
    </row>
    <row r="540" ht="15.75" customHeight="1">
      <c r="B540" s="73"/>
      <c r="C540" s="73"/>
    </row>
    <row r="541" ht="15.75" customHeight="1">
      <c r="B541" s="73"/>
      <c r="C541" s="73"/>
    </row>
    <row r="542" ht="15.75" customHeight="1">
      <c r="B542" s="73"/>
      <c r="C542" s="73"/>
    </row>
    <row r="543" ht="15.75" customHeight="1">
      <c r="B543" s="73"/>
      <c r="C543" s="73"/>
    </row>
    <row r="544" ht="15.75" customHeight="1">
      <c r="B544" s="73"/>
      <c r="C544" s="73"/>
    </row>
    <row r="545" ht="15.75" customHeight="1">
      <c r="B545" s="73"/>
      <c r="C545" s="73"/>
    </row>
    <row r="546" ht="15.75" customHeight="1">
      <c r="B546" s="73"/>
      <c r="C546" s="73"/>
    </row>
    <row r="547" ht="15.75" customHeight="1">
      <c r="B547" s="73"/>
      <c r="C547" s="73"/>
    </row>
    <row r="548" ht="15.75" customHeight="1">
      <c r="B548" s="73"/>
      <c r="C548" s="73"/>
    </row>
    <row r="549" ht="15.75" customHeight="1">
      <c r="B549" s="73"/>
      <c r="C549" s="73"/>
    </row>
    <row r="550" ht="15.75" customHeight="1">
      <c r="B550" s="73"/>
      <c r="C550" s="73"/>
    </row>
    <row r="551" ht="15.75" customHeight="1">
      <c r="B551" s="73"/>
      <c r="C551" s="73"/>
    </row>
    <row r="552" ht="15.75" customHeight="1">
      <c r="B552" s="73"/>
      <c r="C552" s="73"/>
    </row>
    <row r="553" ht="15.75" customHeight="1">
      <c r="B553" s="73"/>
      <c r="C553" s="73"/>
    </row>
    <row r="554" ht="15.75" customHeight="1">
      <c r="B554" s="73"/>
      <c r="C554" s="73"/>
    </row>
    <row r="555" ht="15.75" customHeight="1">
      <c r="B555" s="73"/>
      <c r="C555" s="73"/>
    </row>
    <row r="556" ht="15.75" customHeight="1">
      <c r="B556" s="73"/>
      <c r="C556" s="73"/>
    </row>
    <row r="557" ht="15.75" customHeight="1">
      <c r="B557" s="73"/>
      <c r="C557" s="73"/>
    </row>
    <row r="558" ht="15.75" customHeight="1">
      <c r="B558" s="73"/>
      <c r="C558" s="73"/>
    </row>
    <row r="559" ht="15.75" customHeight="1">
      <c r="B559" s="73"/>
      <c r="C559" s="73"/>
    </row>
    <row r="560" ht="15.75" customHeight="1">
      <c r="B560" s="73"/>
      <c r="C560" s="73"/>
    </row>
    <row r="561" ht="15.75" customHeight="1">
      <c r="B561" s="73"/>
      <c r="C561" s="73"/>
    </row>
    <row r="562" ht="15.75" customHeight="1">
      <c r="B562" s="73"/>
      <c r="C562" s="73"/>
    </row>
    <row r="563" ht="15.75" customHeight="1">
      <c r="B563" s="73"/>
      <c r="C563" s="73"/>
    </row>
    <row r="564" ht="15.75" customHeight="1">
      <c r="B564" s="73"/>
      <c r="C564" s="73"/>
    </row>
    <row r="565" ht="15.75" customHeight="1">
      <c r="B565" s="73"/>
      <c r="C565" s="73"/>
    </row>
    <row r="566" ht="15.75" customHeight="1">
      <c r="B566" s="73"/>
      <c r="C566" s="73"/>
    </row>
    <row r="567" ht="15.75" customHeight="1">
      <c r="B567" s="73"/>
      <c r="C567" s="73"/>
    </row>
    <row r="568" ht="15.75" customHeight="1">
      <c r="B568" s="73"/>
      <c r="C568" s="73"/>
    </row>
    <row r="569" ht="15.75" customHeight="1">
      <c r="B569" s="73"/>
      <c r="C569" s="73"/>
    </row>
    <row r="570" ht="15.75" customHeight="1">
      <c r="B570" s="73"/>
      <c r="C570" s="73"/>
    </row>
    <row r="571" ht="15.75" customHeight="1">
      <c r="B571" s="73"/>
      <c r="C571" s="73"/>
    </row>
    <row r="572" ht="15.75" customHeight="1">
      <c r="B572" s="73"/>
      <c r="C572" s="73"/>
    </row>
    <row r="573" ht="15.75" customHeight="1">
      <c r="B573" s="73"/>
      <c r="C573" s="73"/>
    </row>
    <row r="574" ht="15.75" customHeight="1">
      <c r="B574" s="73"/>
      <c r="C574" s="73"/>
    </row>
    <row r="575" ht="15.75" customHeight="1">
      <c r="B575" s="73"/>
      <c r="C575" s="73"/>
    </row>
    <row r="576" ht="15.75" customHeight="1">
      <c r="B576" s="73"/>
      <c r="C576" s="73"/>
    </row>
    <row r="577" ht="15.75" customHeight="1">
      <c r="B577" s="73"/>
      <c r="C577" s="73"/>
    </row>
    <row r="578" ht="15.75" customHeight="1">
      <c r="B578" s="73"/>
      <c r="C578" s="73"/>
    </row>
    <row r="579" ht="15.75" customHeight="1">
      <c r="B579" s="73"/>
      <c r="C579" s="73"/>
    </row>
    <row r="580" ht="15.75" customHeight="1">
      <c r="B580" s="73"/>
      <c r="C580" s="73"/>
    </row>
    <row r="581" ht="15.75" customHeight="1">
      <c r="B581" s="73"/>
      <c r="C581" s="73"/>
    </row>
    <row r="582" ht="15.75" customHeight="1">
      <c r="B582" s="73"/>
      <c r="C582" s="73"/>
    </row>
    <row r="583" ht="15.75" customHeight="1">
      <c r="B583" s="73"/>
      <c r="C583" s="73"/>
    </row>
    <row r="584" ht="15.75" customHeight="1">
      <c r="B584" s="73"/>
      <c r="C584" s="73"/>
    </row>
    <row r="585" ht="15.75" customHeight="1">
      <c r="B585" s="73"/>
      <c r="C585" s="73"/>
    </row>
    <row r="586" ht="15.75" customHeight="1">
      <c r="B586" s="73"/>
      <c r="C586" s="73"/>
    </row>
    <row r="587" ht="15.75" customHeight="1">
      <c r="B587" s="73"/>
      <c r="C587" s="73"/>
    </row>
    <row r="588" ht="15.75" customHeight="1">
      <c r="B588" s="73"/>
      <c r="C588" s="73"/>
    </row>
    <row r="589" ht="15.75" customHeight="1">
      <c r="B589" s="73"/>
      <c r="C589" s="73"/>
    </row>
    <row r="590" ht="15.75" customHeight="1">
      <c r="B590" s="73"/>
      <c r="C590" s="73"/>
    </row>
    <row r="591" ht="15.75" customHeight="1">
      <c r="B591" s="73"/>
      <c r="C591" s="73"/>
    </row>
    <row r="592" ht="15.75" customHeight="1">
      <c r="B592" s="73"/>
      <c r="C592" s="73"/>
    </row>
    <row r="593" ht="15.75" customHeight="1">
      <c r="B593" s="73"/>
      <c r="C593" s="73"/>
    </row>
    <row r="594" ht="15.75" customHeight="1">
      <c r="B594" s="73"/>
      <c r="C594" s="73"/>
    </row>
    <row r="595" ht="15.75" customHeight="1">
      <c r="B595" s="73"/>
      <c r="C595" s="73"/>
    </row>
    <row r="596" ht="15.75" customHeight="1">
      <c r="B596" s="73"/>
      <c r="C596" s="73"/>
    </row>
    <row r="597" ht="15.75" customHeight="1">
      <c r="B597" s="73"/>
      <c r="C597" s="73"/>
    </row>
    <row r="598" ht="15.75" customHeight="1">
      <c r="B598" s="73"/>
      <c r="C598" s="73"/>
    </row>
    <row r="599" ht="15.75" customHeight="1">
      <c r="B599" s="73"/>
      <c r="C599" s="73"/>
    </row>
    <row r="600" ht="15.75" customHeight="1">
      <c r="B600" s="73"/>
      <c r="C600" s="73"/>
    </row>
    <row r="601" ht="15.75" customHeight="1">
      <c r="B601" s="73"/>
      <c r="C601" s="73"/>
    </row>
    <row r="602" ht="15.75" customHeight="1">
      <c r="B602" s="73"/>
      <c r="C602" s="73"/>
    </row>
    <row r="603" ht="15.75" customHeight="1">
      <c r="B603" s="73"/>
      <c r="C603" s="73"/>
    </row>
    <row r="604" ht="15.75" customHeight="1">
      <c r="B604" s="73"/>
      <c r="C604" s="73"/>
    </row>
    <row r="605" ht="15.75" customHeight="1">
      <c r="B605" s="73"/>
      <c r="C605" s="73"/>
    </row>
    <row r="606" ht="15.75" customHeight="1">
      <c r="B606" s="73"/>
      <c r="C606" s="73"/>
    </row>
    <row r="607" ht="15.75" customHeight="1">
      <c r="B607" s="73"/>
      <c r="C607" s="73"/>
    </row>
    <row r="608" ht="15.75" customHeight="1">
      <c r="B608" s="73"/>
      <c r="C608" s="73"/>
    </row>
    <row r="609" ht="15.75" customHeight="1">
      <c r="B609" s="73"/>
      <c r="C609" s="73"/>
    </row>
    <row r="610" ht="15.75" customHeight="1">
      <c r="B610" s="73"/>
      <c r="C610" s="73"/>
    </row>
    <row r="611" ht="15.75" customHeight="1">
      <c r="B611" s="73"/>
      <c r="C611" s="73"/>
    </row>
    <row r="612" ht="15.75" customHeight="1">
      <c r="B612" s="73"/>
      <c r="C612" s="73"/>
    </row>
    <row r="613" ht="15.75" customHeight="1">
      <c r="B613" s="73"/>
      <c r="C613" s="73"/>
    </row>
    <row r="614" ht="15.75" customHeight="1">
      <c r="B614" s="73"/>
      <c r="C614" s="73"/>
    </row>
    <row r="615" ht="15.75" customHeight="1">
      <c r="B615" s="73"/>
      <c r="C615" s="73"/>
    </row>
    <row r="616" ht="15.75" customHeight="1">
      <c r="B616" s="73"/>
      <c r="C616" s="73"/>
    </row>
    <row r="617" ht="15.75" customHeight="1">
      <c r="B617" s="73"/>
      <c r="C617" s="73"/>
    </row>
    <row r="618" ht="15.75" customHeight="1">
      <c r="B618" s="73"/>
      <c r="C618" s="73"/>
    </row>
    <row r="619" ht="15.75" customHeight="1">
      <c r="B619" s="73"/>
      <c r="C619" s="73"/>
    </row>
    <row r="620" ht="15.75" customHeight="1">
      <c r="B620" s="73"/>
      <c r="C620" s="73"/>
    </row>
    <row r="621" ht="15.75" customHeight="1">
      <c r="B621" s="73"/>
      <c r="C621" s="73"/>
    </row>
    <row r="622" ht="15.75" customHeight="1">
      <c r="B622" s="73"/>
      <c r="C622" s="73"/>
    </row>
    <row r="623" ht="15.75" customHeight="1">
      <c r="B623" s="73"/>
      <c r="C623" s="73"/>
    </row>
    <row r="624" ht="15.75" customHeight="1">
      <c r="B624" s="73"/>
      <c r="C624" s="73"/>
    </row>
    <row r="625" ht="15.75" customHeight="1">
      <c r="B625" s="73"/>
      <c r="C625" s="73"/>
    </row>
    <row r="626" ht="15.75" customHeight="1">
      <c r="B626" s="73"/>
      <c r="C626" s="73"/>
    </row>
    <row r="627" ht="15.75" customHeight="1">
      <c r="B627" s="73"/>
      <c r="C627" s="73"/>
    </row>
    <row r="628" ht="15.75" customHeight="1">
      <c r="B628" s="73"/>
      <c r="C628" s="73"/>
    </row>
    <row r="629" ht="15.75" customHeight="1">
      <c r="B629" s="73"/>
      <c r="C629" s="73"/>
    </row>
    <row r="630" ht="15.75" customHeight="1">
      <c r="B630" s="73"/>
      <c r="C630" s="73"/>
    </row>
    <row r="631" ht="15.75" customHeight="1">
      <c r="B631" s="73"/>
      <c r="C631" s="73"/>
    </row>
    <row r="632" ht="15.75" customHeight="1">
      <c r="B632" s="73"/>
      <c r="C632" s="73"/>
    </row>
    <row r="633" ht="15.75" customHeight="1">
      <c r="B633" s="73"/>
      <c r="C633" s="73"/>
    </row>
    <row r="634" ht="15.75" customHeight="1">
      <c r="B634" s="73"/>
      <c r="C634" s="73"/>
    </row>
    <row r="635" ht="15.75" customHeight="1">
      <c r="B635" s="73"/>
      <c r="C635" s="73"/>
    </row>
    <row r="636" ht="15.75" customHeight="1">
      <c r="B636" s="73"/>
      <c r="C636" s="73"/>
    </row>
    <row r="637" ht="15.75" customHeight="1">
      <c r="B637" s="73"/>
      <c r="C637" s="73"/>
    </row>
    <row r="638" ht="15.75" customHeight="1">
      <c r="B638" s="73"/>
      <c r="C638" s="73"/>
    </row>
    <row r="639" ht="15.75" customHeight="1">
      <c r="B639" s="73"/>
      <c r="C639" s="73"/>
    </row>
    <row r="640" ht="15.75" customHeight="1">
      <c r="B640" s="73"/>
      <c r="C640" s="73"/>
    </row>
    <row r="641" ht="15.75" customHeight="1">
      <c r="B641" s="73"/>
      <c r="C641" s="73"/>
    </row>
    <row r="642" ht="15.75" customHeight="1">
      <c r="B642" s="73"/>
      <c r="C642" s="73"/>
    </row>
    <row r="643" ht="15.75" customHeight="1">
      <c r="B643" s="73"/>
      <c r="C643" s="73"/>
    </row>
    <row r="644" ht="15.75" customHeight="1">
      <c r="B644" s="73"/>
      <c r="C644" s="73"/>
    </row>
    <row r="645" ht="15.75" customHeight="1">
      <c r="B645" s="73"/>
      <c r="C645" s="73"/>
    </row>
    <row r="646" ht="15.75" customHeight="1">
      <c r="B646" s="73"/>
      <c r="C646" s="73"/>
    </row>
    <row r="647" ht="15.75" customHeight="1">
      <c r="B647" s="73"/>
      <c r="C647" s="73"/>
    </row>
    <row r="648" ht="15.75" customHeight="1">
      <c r="B648" s="73"/>
      <c r="C648" s="73"/>
    </row>
    <row r="649" ht="15.75" customHeight="1">
      <c r="B649" s="73"/>
      <c r="C649" s="73"/>
    </row>
    <row r="650" ht="15.75" customHeight="1">
      <c r="B650" s="73"/>
      <c r="C650" s="73"/>
    </row>
    <row r="651" ht="15.75" customHeight="1">
      <c r="B651" s="73"/>
      <c r="C651" s="73"/>
    </row>
    <row r="652" ht="15.75" customHeight="1">
      <c r="B652" s="73"/>
      <c r="C652" s="73"/>
    </row>
    <row r="653" ht="15.75" customHeight="1">
      <c r="B653" s="73"/>
      <c r="C653" s="73"/>
    </row>
    <row r="654" ht="15.75" customHeight="1">
      <c r="B654" s="73"/>
      <c r="C654" s="73"/>
    </row>
    <row r="655" ht="15.75" customHeight="1">
      <c r="B655" s="73"/>
      <c r="C655" s="73"/>
    </row>
    <row r="656" ht="15.75" customHeight="1">
      <c r="B656" s="73"/>
      <c r="C656" s="73"/>
    </row>
    <row r="657" ht="15.75" customHeight="1">
      <c r="B657" s="73"/>
      <c r="C657" s="73"/>
    </row>
    <row r="658" ht="15.75" customHeight="1">
      <c r="B658" s="73"/>
      <c r="C658" s="73"/>
    </row>
    <row r="659" ht="15.75" customHeight="1">
      <c r="B659" s="73"/>
      <c r="C659" s="73"/>
    </row>
    <row r="660" ht="15.75" customHeight="1">
      <c r="B660" s="73"/>
      <c r="C660" s="73"/>
    </row>
    <row r="661" ht="15.75" customHeight="1">
      <c r="B661" s="73"/>
      <c r="C661" s="73"/>
    </row>
    <row r="662" ht="15.75" customHeight="1">
      <c r="B662" s="73"/>
      <c r="C662" s="73"/>
    </row>
    <row r="663" ht="15.75" customHeight="1">
      <c r="B663" s="73"/>
      <c r="C663" s="73"/>
    </row>
    <row r="664" ht="15.75" customHeight="1">
      <c r="B664" s="73"/>
      <c r="C664" s="73"/>
    </row>
    <row r="665" ht="15.75" customHeight="1">
      <c r="B665" s="73"/>
      <c r="C665" s="73"/>
    </row>
    <row r="666" ht="15.75" customHeight="1">
      <c r="B666" s="73"/>
      <c r="C666" s="73"/>
    </row>
    <row r="667" ht="15.75" customHeight="1">
      <c r="B667" s="73"/>
      <c r="C667" s="73"/>
    </row>
    <row r="668" ht="15.75" customHeight="1">
      <c r="B668" s="73"/>
      <c r="C668" s="73"/>
    </row>
    <row r="669" ht="15.75" customHeight="1">
      <c r="B669" s="73"/>
      <c r="C669" s="73"/>
    </row>
    <row r="670" ht="15.75" customHeight="1">
      <c r="B670" s="73"/>
      <c r="C670" s="73"/>
    </row>
    <row r="671" ht="15.75" customHeight="1">
      <c r="B671" s="73"/>
      <c r="C671" s="73"/>
    </row>
    <row r="672" ht="15.75" customHeight="1">
      <c r="B672" s="73"/>
      <c r="C672" s="73"/>
    </row>
    <row r="673" ht="15.75" customHeight="1">
      <c r="B673" s="73"/>
      <c r="C673" s="73"/>
    </row>
    <row r="674" ht="15.75" customHeight="1">
      <c r="B674" s="73"/>
      <c r="C674" s="73"/>
    </row>
    <row r="675" ht="15.75" customHeight="1">
      <c r="B675" s="73"/>
      <c r="C675" s="73"/>
    </row>
    <row r="676" ht="15.75" customHeight="1">
      <c r="B676" s="73"/>
      <c r="C676" s="73"/>
    </row>
    <row r="677" ht="15.75" customHeight="1">
      <c r="B677" s="73"/>
      <c r="C677" s="73"/>
    </row>
    <row r="678" ht="15.75" customHeight="1">
      <c r="B678" s="73"/>
      <c r="C678" s="73"/>
    </row>
    <row r="679" ht="15.75" customHeight="1">
      <c r="B679" s="73"/>
      <c r="C679" s="73"/>
    </row>
    <row r="680" ht="15.75" customHeight="1">
      <c r="B680" s="73"/>
      <c r="C680" s="73"/>
    </row>
    <row r="681" ht="15.75" customHeight="1">
      <c r="B681" s="73"/>
      <c r="C681" s="73"/>
    </row>
    <row r="682" ht="15.75" customHeight="1">
      <c r="B682" s="73"/>
      <c r="C682" s="73"/>
    </row>
    <row r="683" ht="15.75" customHeight="1">
      <c r="B683" s="73"/>
      <c r="C683" s="73"/>
    </row>
    <row r="684" ht="15.75" customHeight="1">
      <c r="B684" s="73"/>
      <c r="C684" s="73"/>
    </row>
    <row r="685" ht="15.75" customHeight="1">
      <c r="B685" s="73"/>
      <c r="C685" s="73"/>
    </row>
    <row r="686" ht="15.75" customHeight="1">
      <c r="B686" s="73"/>
      <c r="C686" s="73"/>
    </row>
    <row r="687" ht="15.75" customHeight="1">
      <c r="B687" s="73"/>
      <c r="C687" s="73"/>
    </row>
    <row r="688" ht="15.75" customHeight="1">
      <c r="B688" s="73"/>
      <c r="C688" s="73"/>
    </row>
    <row r="689" ht="15.75" customHeight="1">
      <c r="B689" s="73"/>
      <c r="C689" s="73"/>
    </row>
    <row r="690" ht="15.75" customHeight="1">
      <c r="B690" s="73"/>
      <c r="C690" s="73"/>
    </row>
    <row r="691" ht="15.75" customHeight="1">
      <c r="B691" s="73"/>
      <c r="C691" s="73"/>
    </row>
    <row r="692" ht="15.75" customHeight="1">
      <c r="B692" s="73"/>
      <c r="C692" s="73"/>
    </row>
    <row r="693" ht="15.75" customHeight="1">
      <c r="B693" s="73"/>
      <c r="C693" s="73"/>
    </row>
    <row r="694" ht="15.75" customHeight="1">
      <c r="B694" s="73"/>
      <c r="C694" s="73"/>
    </row>
    <row r="695" ht="15.75" customHeight="1">
      <c r="B695" s="73"/>
      <c r="C695" s="73"/>
    </row>
    <row r="696" ht="15.75" customHeight="1">
      <c r="B696" s="73"/>
      <c r="C696" s="73"/>
    </row>
    <row r="697" ht="15.75" customHeight="1">
      <c r="B697" s="73"/>
      <c r="C697" s="73"/>
    </row>
    <row r="698" ht="15.75" customHeight="1">
      <c r="B698" s="73"/>
      <c r="C698" s="73"/>
    </row>
    <row r="699" ht="15.75" customHeight="1">
      <c r="B699" s="73"/>
      <c r="C699" s="73"/>
    </row>
    <row r="700" ht="15.75" customHeight="1">
      <c r="B700" s="73"/>
      <c r="C700" s="73"/>
    </row>
    <row r="701" ht="15.75" customHeight="1">
      <c r="B701" s="73"/>
      <c r="C701" s="73"/>
    </row>
    <row r="702" ht="15.75" customHeight="1">
      <c r="B702" s="73"/>
      <c r="C702" s="73"/>
    </row>
    <row r="703" ht="15.75" customHeight="1">
      <c r="B703" s="73"/>
      <c r="C703" s="73"/>
    </row>
    <row r="704" ht="15.75" customHeight="1">
      <c r="B704" s="73"/>
      <c r="C704" s="73"/>
    </row>
    <row r="705" ht="15.75" customHeight="1">
      <c r="B705" s="73"/>
      <c r="C705" s="73"/>
    </row>
    <row r="706" ht="15.75" customHeight="1">
      <c r="B706" s="73"/>
      <c r="C706" s="73"/>
    </row>
    <row r="707" ht="15.75" customHeight="1">
      <c r="B707" s="73"/>
      <c r="C707" s="73"/>
    </row>
    <row r="708" ht="15.75" customHeight="1">
      <c r="B708" s="73"/>
      <c r="C708" s="73"/>
    </row>
    <row r="709" ht="15.75" customHeight="1">
      <c r="B709" s="73"/>
      <c r="C709" s="73"/>
    </row>
    <row r="710" ht="15.75" customHeight="1">
      <c r="B710" s="73"/>
      <c r="C710" s="73"/>
    </row>
    <row r="711" ht="15.75" customHeight="1">
      <c r="B711" s="73"/>
      <c r="C711" s="73"/>
    </row>
    <row r="712" ht="15.75" customHeight="1">
      <c r="B712" s="73"/>
      <c r="C712" s="73"/>
    </row>
    <row r="713" ht="15.75" customHeight="1">
      <c r="B713" s="73"/>
      <c r="C713" s="73"/>
    </row>
    <row r="714" ht="15.75" customHeight="1">
      <c r="B714" s="73"/>
      <c r="C714" s="73"/>
    </row>
    <row r="715" ht="15.75" customHeight="1">
      <c r="B715" s="73"/>
      <c r="C715" s="73"/>
    </row>
    <row r="716" ht="15.75" customHeight="1">
      <c r="B716" s="73"/>
      <c r="C716" s="73"/>
    </row>
    <row r="717" ht="15.75" customHeight="1">
      <c r="B717" s="73"/>
      <c r="C717" s="73"/>
    </row>
    <row r="718" ht="15.75" customHeight="1">
      <c r="B718" s="73"/>
      <c r="C718" s="73"/>
    </row>
    <row r="719" ht="15.75" customHeight="1">
      <c r="B719" s="73"/>
      <c r="C719" s="73"/>
    </row>
    <row r="720" ht="15.75" customHeight="1">
      <c r="B720" s="73"/>
      <c r="C720" s="73"/>
    </row>
    <row r="721" ht="15.75" customHeight="1">
      <c r="B721" s="73"/>
      <c r="C721" s="73"/>
    </row>
    <row r="722" ht="15.75" customHeight="1">
      <c r="B722" s="73"/>
      <c r="C722" s="73"/>
    </row>
    <row r="723" ht="15.75" customHeight="1">
      <c r="B723" s="73"/>
      <c r="C723" s="73"/>
    </row>
    <row r="724" ht="15.75" customHeight="1">
      <c r="B724" s="73"/>
      <c r="C724" s="73"/>
    </row>
    <row r="725" ht="15.75" customHeight="1">
      <c r="B725" s="73"/>
      <c r="C725" s="73"/>
    </row>
    <row r="726" ht="15.75" customHeight="1">
      <c r="B726" s="73"/>
      <c r="C726" s="73"/>
    </row>
    <row r="727" ht="15.75" customHeight="1">
      <c r="B727" s="73"/>
      <c r="C727" s="73"/>
    </row>
    <row r="728" ht="15.75" customHeight="1">
      <c r="B728" s="73"/>
      <c r="C728" s="73"/>
    </row>
    <row r="729" ht="15.75" customHeight="1">
      <c r="B729" s="73"/>
      <c r="C729" s="73"/>
    </row>
    <row r="730" ht="15.75" customHeight="1">
      <c r="B730" s="73"/>
      <c r="C730" s="73"/>
    </row>
    <row r="731" ht="15.75" customHeight="1">
      <c r="B731" s="73"/>
      <c r="C731" s="73"/>
    </row>
    <row r="732" ht="15.75" customHeight="1">
      <c r="B732" s="73"/>
      <c r="C732" s="73"/>
    </row>
    <row r="733" ht="15.75" customHeight="1">
      <c r="B733" s="73"/>
      <c r="C733" s="73"/>
    </row>
    <row r="734" ht="15.75" customHeight="1">
      <c r="B734" s="73"/>
      <c r="C734" s="73"/>
    </row>
    <row r="735" ht="15.75" customHeight="1">
      <c r="B735" s="73"/>
      <c r="C735" s="73"/>
    </row>
    <row r="736" ht="15.75" customHeight="1">
      <c r="B736" s="73"/>
      <c r="C736" s="73"/>
    </row>
    <row r="737" ht="15.75" customHeight="1">
      <c r="B737" s="73"/>
      <c r="C737" s="73"/>
    </row>
    <row r="738" ht="15.75" customHeight="1">
      <c r="B738" s="73"/>
      <c r="C738" s="73"/>
    </row>
    <row r="739" ht="15.75" customHeight="1">
      <c r="B739" s="73"/>
      <c r="C739" s="73"/>
    </row>
    <row r="740" ht="15.75" customHeight="1">
      <c r="B740" s="73"/>
      <c r="C740" s="73"/>
    </row>
    <row r="741" ht="15.75" customHeight="1">
      <c r="B741" s="73"/>
      <c r="C741" s="73"/>
    </row>
    <row r="742" ht="15.75" customHeight="1">
      <c r="B742" s="73"/>
      <c r="C742" s="73"/>
    </row>
    <row r="743" ht="15.75" customHeight="1">
      <c r="B743" s="73"/>
      <c r="C743" s="73"/>
    </row>
    <row r="744" ht="15.75" customHeight="1">
      <c r="B744" s="73"/>
      <c r="C744" s="73"/>
    </row>
    <row r="745" ht="15.75" customHeight="1">
      <c r="B745" s="73"/>
      <c r="C745" s="73"/>
    </row>
    <row r="746" ht="15.75" customHeight="1">
      <c r="B746" s="73"/>
      <c r="C746" s="73"/>
    </row>
    <row r="747" ht="15.75" customHeight="1">
      <c r="B747" s="73"/>
      <c r="C747" s="73"/>
    </row>
    <row r="748" ht="15.75" customHeight="1">
      <c r="B748" s="73"/>
      <c r="C748" s="73"/>
    </row>
    <row r="749" ht="15.75" customHeight="1">
      <c r="B749" s="73"/>
      <c r="C749" s="73"/>
    </row>
    <row r="750" ht="15.75" customHeight="1">
      <c r="B750" s="73"/>
      <c r="C750" s="73"/>
    </row>
    <row r="751" ht="15.75" customHeight="1">
      <c r="B751" s="73"/>
      <c r="C751" s="73"/>
    </row>
    <row r="752" ht="15.75" customHeight="1">
      <c r="B752" s="73"/>
      <c r="C752" s="73"/>
    </row>
    <row r="753" ht="15.75" customHeight="1">
      <c r="B753" s="73"/>
      <c r="C753" s="73"/>
    </row>
    <row r="754" ht="15.75" customHeight="1">
      <c r="B754" s="73"/>
      <c r="C754" s="73"/>
    </row>
    <row r="755" ht="15.75" customHeight="1">
      <c r="B755" s="73"/>
      <c r="C755" s="73"/>
    </row>
    <row r="756" ht="15.75" customHeight="1">
      <c r="B756" s="73"/>
      <c r="C756" s="73"/>
    </row>
    <row r="757" ht="15.75" customHeight="1">
      <c r="B757" s="73"/>
      <c r="C757" s="73"/>
    </row>
    <row r="758" ht="15.75" customHeight="1">
      <c r="B758" s="73"/>
      <c r="C758" s="73"/>
    </row>
    <row r="759" ht="15.75" customHeight="1">
      <c r="B759" s="73"/>
      <c r="C759" s="73"/>
    </row>
    <row r="760" ht="15.75" customHeight="1">
      <c r="B760" s="73"/>
      <c r="C760" s="73"/>
    </row>
    <row r="761" ht="15.75" customHeight="1">
      <c r="B761" s="73"/>
      <c r="C761" s="73"/>
    </row>
    <row r="762" ht="15.75" customHeight="1">
      <c r="B762" s="73"/>
      <c r="C762" s="73"/>
    </row>
    <row r="763" ht="15.75" customHeight="1">
      <c r="B763" s="73"/>
      <c r="C763" s="73"/>
    </row>
    <row r="764" ht="15.75" customHeight="1">
      <c r="B764" s="73"/>
      <c r="C764" s="73"/>
    </row>
    <row r="765" ht="15.75" customHeight="1">
      <c r="B765" s="73"/>
      <c r="C765" s="73"/>
    </row>
    <row r="766" ht="15.75" customHeight="1">
      <c r="B766" s="73"/>
      <c r="C766" s="73"/>
    </row>
    <row r="767" ht="15.75" customHeight="1">
      <c r="B767" s="73"/>
      <c r="C767" s="73"/>
    </row>
    <row r="768" ht="15.75" customHeight="1">
      <c r="B768" s="73"/>
      <c r="C768" s="73"/>
    </row>
    <row r="769" ht="15.75" customHeight="1">
      <c r="B769" s="73"/>
      <c r="C769" s="73"/>
    </row>
    <row r="770" ht="15.75" customHeight="1">
      <c r="B770" s="73"/>
      <c r="C770" s="73"/>
    </row>
    <row r="771" ht="15.75" customHeight="1">
      <c r="B771" s="73"/>
      <c r="C771" s="73"/>
    </row>
    <row r="772" ht="15.75" customHeight="1">
      <c r="B772" s="73"/>
      <c r="C772" s="73"/>
    </row>
    <row r="773" ht="15.75" customHeight="1">
      <c r="B773" s="73"/>
      <c r="C773" s="73"/>
    </row>
    <row r="774" ht="15.75" customHeight="1">
      <c r="B774" s="73"/>
      <c r="C774" s="73"/>
    </row>
    <row r="775" ht="15.75" customHeight="1">
      <c r="B775" s="73"/>
      <c r="C775" s="73"/>
    </row>
    <row r="776" ht="15.75" customHeight="1">
      <c r="B776" s="73"/>
      <c r="C776" s="73"/>
    </row>
    <row r="777" ht="15.75" customHeight="1">
      <c r="B777" s="73"/>
      <c r="C777" s="73"/>
    </row>
    <row r="778" ht="15.75" customHeight="1">
      <c r="B778" s="73"/>
      <c r="C778" s="73"/>
    </row>
    <row r="779" ht="15.75" customHeight="1">
      <c r="B779" s="73"/>
      <c r="C779" s="73"/>
    </row>
    <row r="780" ht="15.75" customHeight="1">
      <c r="B780" s="73"/>
      <c r="C780" s="73"/>
    </row>
    <row r="781" ht="15.75" customHeight="1">
      <c r="B781" s="73"/>
      <c r="C781" s="73"/>
    </row>
    <row r="782" ht="15.75" customHeight="1">
      <c r="B782" s="73"/>
      <c r="C782" s="73"/>
    </row>
    <row r="783" ht="15.75" customHeight="1">
      <c r="B783" s="73"/>
      <c r="C783" s="73"/>
    </row>
    <row r="784" ht="15.75" customHeight="1">
      <c r="B784" s="73"/>
      <c r="C784" s="73"/>
    </row>
    <row r="785" ht="15.75" customHeight="1">
      <c r="B785" s="73"/>
      <c r="C785" s="73"/>
    </row>
    <row r="786" ht="15.75" customHeight="1">
      <c r="B786" s="73"/>
      <c r="C786" s="73"/>
    </row>
    <row r="787" ht="15.75" customHeight="1">
      <c r="B787" s="73"/>
      <c r="C787" s="73"/>
    </row>
    <row r="788" ht="15.75" customHeight="1">
      <c r="B788" s="73"/>
      <c r="C788" s="73"/>
    </row>
    <row r="789" ht="15.75" customHeight="1">
      <c r="B789" s="73"/>
      <c r="C789" s="73"/>
    </row>
    <row r="790" ht="15.75" customHeight="1">
      <c r="B790" s="73"/>
      <c r="C790" s="73"/>
    </row>
    <row r="791" ht="15.75" customHeight="1">
      <c r="B791" s="73"/>
      <c r="C791" s="73"/>
    </row>
    <row r="792" ht="15.75" customHeight="1">
      <c r="B792" s="73"/>
      <c r="C792" s="73"/>
    </row>
    <row r="793" ht="15.75" customHeight="1">
      <c r="B793" s="73"/>
      <c r="C793" s="73"/>
    </row>
    <row r="794" ht="15.75" customHeight="1">
      <c r="B794" s="73"/>
      <c r="C794" s="73"/>
    </row>
    <row r="795" ht="15.75" customHeight="1">
      <c r="B795" s="73"/>
      <c r="C795" s="73"/>
    </row>
    <row r="796" ht="15.75" customHeight="1">
      <c r="B796" s="73"/>
      <c r="C796" s="73"/>
    </row>
    <row r="797" ht="15.75" customHeight="1">
      <c r="B797" s="73"/>
      <c r="C797" s="73"/>
    </row>
    <row r="798" ht="15.75" customHeight="1">
      <c r="B798" s="73"/>
      <c r="C798" s="73"/>
    </row>
    <row r="799" ht="15.75" customHeight="1">
      <c r="B799" s="73"/>
      <c r="C799" s="73"/>
    </row>
    <row r="800" ht="15.75" customHeight="1">
      <c r="B800" s="73"/>
      <c r="C800" s="73"/>
    </row>
    <row r="801" ht="15.75" customHeight="1">
      <c r="B801" s="73"/>
      <c r="C801" s="73"/>
    </row>
    <row r="802" ht="15.75" customHeight="1">
      <c r="B802" s="73"/>
      <c r="C802" s="73"/>
    </row>
    <row r="803" ht="15.75" customHeight="1">
      <c r="B803" s="73"/>
      <c r="C803" s="73"/>
    </row>
    <row r="804" ht="15.75" customHeight="1">
      <c r="B804" s="73"/>
      <c r="C804" s="73"/>
    </row>
    <row r="805" ht="15.75" customHeight="1">
      <c r="B805" s="73"/>
      <c r="C805" s="73"/>
    </row>
    <row r="806" ht="15.75" customHeight="1">
      <c r="B806" s="73"/>
      <c r="C806" s="73"/>
    </row>
    <row r="807" ht="15.75" customHeight="1">
      <c r="B807" s="73"/>
      <c r="C807" s="73"/>
    </row>
    <row r="808" ht="15.75" customHeight="1">
      <c r="B808" s="73"/>
      <c r="C808" s="73"/>
    </row>
    <row r="809" ht="15.75" customHeight="1">
      <c r="B809" s="73"/>
      <c r="C809" s="73"/>
    </row>
    <row r="810" ht="15.75" customHeight="1">
      <c r="B810" s="73"/>
      <c r="C810" s="73"/>
    </row>
    <row r="811" ht="15.75" customHeight="1">
      <c r="B811" s="73"/>
      <c r="C811" s="73"/>
    </row>
    <row r="812" ht="15.75" customHeight="1">
      <c r="B812" s="73"/>
      <c r="C812" s="73"/>
    </row>
    <row r="813" ht="15.75" customHeight="1">
      <c r="B813" s="73"/>
      <c r="C813" s="73"/>
    </row>
    <row r="814" ht="15.75" customHeight="1">
      <c r="B814" s="73"/>
      <c r="C814" s="73"/>
    </row>
    <row r="815" ht="15.75" customHeight="1">
      <c r="B815" s="73"/>
      <c r="C815" s="73"/>
    </row>
    <row r="816" ht="15.75" customHeight="1">
      <c r="B816" s="73"/>
      <c r="C816" s="73"/>
    </row>
    <row r="817" ht="15.75" customHeight="1">
      <c r="B817" s="73"/>
      <c r="C817" s="73"/>
    </row>
    <row r="818" ht="15.75" customHeight="1">
      <c r="B818" s="73"/>
      <c r="C818" s="73"/>
    </row>
    <row r="819" ht="15.75" customHeight="1">
      <c r="B819" s="73"/>
      <c r="C819" s="73"/>
    </row>
    <row r="820" ht="15.75" customHeight="1">
      <c r="B820" s="73"/>
      <c r="C820" s="73"/>
    </row>
    <row r="821" ht="15.75" customHeight="1">
      <c r="B821" s="73"/>
      <c r="C821" s="73"/>
    </row>
    <row r="822" ht="15.75" customHeight="1">
      <c r="B822" s="73"/>
      <c r="C822" s="73"/>
    </row>
    <row r="823" ht="15.75" customHeight="1">
      <c r="B823" s="73"/>
      <c r="C823" s="73"/>
    </row>
    <row r="824" ht="15.75" customHeight="1">
      <c r="B824" s="73"/>
      <c r="C824" s="73"/>
    </row>
    <row r="825" ht="15.75" customHeight="1">
      <c r="B825" s="73"/>
      <c r="C825" s="73"/>
    </row>
    <row r="826" ht="15.75" customHeight="1">
      <c r="B826" s="73"/>
      <c r="C826" s="73"/>
    </row>
    <row r="827" ht="15.75" customHeight="1">
      <c r="B827" s="73"/>
      <c r="C827" s="73"/>
    </row>
    <row r="828" ht="15.75" customHeight="1">
      <c r="B828" s="73"/>
      <c r="C828" s="73"/>
    </row>
    <row r="829" ht="15.75" customHeight="1">
      <c r="B829" s="73"/>
      <c r="C829" s="73"/>
    </row>
    <row r="830" ht="15.75" customHeight="1">
      <c r="B830" s="73"/>
      <c r="C830" s="73"/>
    </row>
    <row r="831" ht="15.75" customHeight="1">
      <c r="B831" s="73"/>
      <c r="C831" s="73"/>
    </row>
    <row r="832" ht="15.75" customHeight="1">
      <c r="B832" s="73"/>
      <c r="C832" s="73"/>
    </row>
    <row r="833" ht="15.75" customHeight="1">
      <c r="B833" s="73"/>
      <c r="C833" s="73"/>
    </row>
    <row r="834" ht="15.75" customHeight="1">
      <c r="B834" s="73"/>
      <c r="C834" s="73"/>
    </row>
    <row r="835" ht="15.75" customHeight="1">
      <c r="B835" s="73"/>
      <c r="C835" s="73"/>
    </row>
    <row r="836" ht="15.75" customHeight="1">
      <c r="B836" s="73"/>
      <c r="C836" s="73"/>
    </row>
    <row r="837" ht="15.75" customHeight="1">
      <c r="B837" s="73"/>
      <c r="C837" s="73"/>
    </row>
    <row r="838" ht="15.75" customHeight="1">
      <c r="B838" s="73"/>
      <c r="C838" s="73"/>
    </row>
    <row r="839" ht="15.75" customHeight="1">
      <c r="B839" s="73"/>
      <c r="C839" s="73"/>
    </row>
    <row r="840" ht="15.75" customHeight="1">
      <c r="B840" s="73"/>
      <c r="C840" s="73"/>
    </row>
    <row r="841" ht="15.75" customHeight="1">
      <c r="B841" s="73"/>
      <c r="C841" s="73"/>
    </row>
    <row r="842" ht="15.75" customHeight="1">
      <c r="B842" s="73"/>
      <c r="C842" s="73"/>
    </row>
    <row r="843" ht="15.75" customHeight="1">
      <c r="B843" s="73"/>
      <c r="C843" s="73"/>
    </row>
    <row r="844" ht="15.75" customHeight="1">
      <c r="B844" s="73"/>
      <c r="C844" s="73"/>
    </row>
    <row r="845" ht="15.75" customHeight="1">
      <c r="B845" s="73"/>
      <c r="C845" s="73"/>
    </row>
    <row r="846" ht="15.75" customHeight="1">
      <c r="B846" s="73"/>
      <c r="C846" s="73"/>
    </row>
    <row r="847" ht="15.75" customHeight="1">
      <c r="B847" s="73"/>
      <c r="C847" s="73"/>
    </row>
    <row r="848" ht="15.75" customHeight="1">
      <c r="B848" s="73"/>
      <c r="C848" s="73"/>
    </row>
    <row r="849" ht="15.75" customHeight="1">
      <c r="B849" s="73"/>
      <c r="C849" s="73"/>
    </row>
    <row r="850" ht="15.75" customHeight="1">
      <c r="B850" s="73"/>
      <c r="C850" s="73"/>
    </row>
    <row r="851" ht="15.75" customHeight="1">
      <c r="B851" s="73"/>
      <c r="C851" s="73"/>
    </row>
    <row r="852" ht="15.75" customHeight="1">
      <c r="B852" s="73"/>
      <c r="C852" s="73"/>
    </row>
    <row r="853" ht="15.75" customHeight="1">
      <c r="B853" s="73"/>
      <c r="C853" s="73"/>
    </row>
    <row r="854" ht="15.75" customHeight="1">
      <c r="B854" s="73"/>
      <c r="C854" s="73"/>
    </row>
    <row r="855" ht="15.75" customHeight="1">
      <c r="B855" s="73"/>
      <c r="C855" s="73"/>
    </row>
    <row r="856" ht="15.75" customHeight="1">
      <c r="B856" s="73"/>
      <c r="C856" s="73"/>
    </row>
    <row r="857" ht="15.75" customHeight="1">
      <c r="B857" s="73"/>
      <c r="C857" s="73"/>
    </row>
    <row r="858" ht="15.75" customHeight="1">
      <c r="B858" s="73"/>
      <c r="C858" s="73"/>
    </row>
    <row r="859" ht="15.75" customHeight="1">
      <c r="B859" s="73"/>
      <c r="C859" s="73"/>
    </row>
    <row r="860" ht="15.75" customHeight="1">
      <c r="B860" s="73"/>
      <c r="C860" s="73"/>
    </row>
    <row r="861" ht="15.75" customHeight="1">
      <c r="B861" s="73"/>
      <c r="C861" s="73"/>
    </row>
    <row r="862" ht="15.75" customHeight="1">
      <c r="B862" s="73"/>
      <c r="C862" s="73"/>
    </row>
    <row r="863" ht="15.75" customHeight="1">
      <c r="B863" s="73"/>
      <c r="C863" s="73"/>
    </row>
    <row r="864" ht="15.75" customHeight="1">
      <c r="B864" s="73"/>
      <c r="C864" s="73"/>
    </row>
    <row r="865" ht="15.75" customHeight="1">
      <c r="B865" s="73"/>
      <c r="C865" s="73"/>
    </row>
    <row r="866" ht="15.75" customHeight="1">
      <c r="B866" s="73"/>
      <c r="C866" s="73"/>
    </row>
    <row r="867" ht="15.75" customHeight="1">
      <c r="B867" s="73"/>
      <c r="C867" s="73"/>
    </row>
    <row r="868" ht="15.75" customHeight="1">
      <c r="B868" s="73"/>
      <c r="C868" s="73"/>
    </row>
    <row r="869" ht="15.75" customHeight="1">
      <c r="B869" s="73"/>
      <c r="C869" s="73"/>
    </row>
    <row r="870" ht="15.75" customHeight="1">
      <c r="B870" s="73"/>
      <c r="C870" s="73"/>
    </row>
    <row r="871" ht="15.75" customHeight="1">
      <c r="B871" s="73"/>
      <c r="C871" s="73"/>
    </row>
    <row r="872" ht="15.75" customHeight="1">
      <c r="B872" s="73"/>
      <c r="C872" s="73"/>
    </row>
    <row r="873" ht="15.75" customHeight="1">
      <c r="B873" s="73"/>
      <c r="C873" s="73"/>
    </row>
    <row r="874" ht="15.75" customHeight="1">
      <c r="B874" s="73"/>
      <c r="C874" s="73"/>
    </row>
    <row r="875" ht="15.75" customHeight="1">
      <c r="B875" s="73"/>
      <c r="C875" s="73"/>
    </row>
    <row r="876" ht="15.75" customHeight="1">
      <c r="B876" s="73"/>
      <c r="C876" s="73"/>
    </row>
    <row r="877" ht="15.75" customHeight="1">
      <c r="B877" s="73"/>
      <c r="C877" s="73"/>
    </row>
    <row r="878" ht="15.75" customHeight="1">
      <c r="B878" s="73"/>
      <c r="C878" s="73"/>
    </row>
    <row r="879" ht="15.75" customHeight="1">
      <c r="B879" s="73"/>
      <c r="C879" s="73"/>
    </row>
    <row r="880" ht="15.75" customHeight="1">
      <c r="B880" s="73"/>
      <c r="C880" s="73"/>
    </row>
    <row r="881" ht="15.75" customHeight="1">
      <c r="B881" s="73"/>
      <c r="C881" s="73"/>
    </row>
    <row r="882" ht="15.75" customHeight="1">
      <c r="B882" s="73"/>
      <c r="C882" s="73"/>
    </row>
    <row r="883" ht="15.75" customHeight="1">
      <c r="B883" s="73"/>
      <c r="C883" s="73"/>
    </row>
    <row r="884" ht="15.75" customHeight="1">
      <c r="B884" s="73"/>
      <c r="C884" s="73"/>
    </row>
    <row r="885" ht="15.75" customHeight="1">
      <c r="B885" s="73"/>
      <c r="C885" s="73"/>
    </row>
    <row r="886" ht="15.75" customHeight="1">
      <c r="B886" s="73"/>
      <c r="C886" s="73"/>
    </row>
    <row r="887" ht="15.75" customHeight="1">
      <c r="B887" s="73"/>
      <c r="C887" s="73"/>
    </row>
    <row r="888" ht="15.75" customHeight="1">
      <c r="B888" s="73"/>
      <c r="C888" s="73"/>
    </row>
    <row r="889" ht="15.75" customHeight="1">
      <c r="B889" s="73"/>
      <c r="C889" s="73"/>
    </row>
    <row r="890" ht="15.75" customHeight="1">
      <c r="B890" s="73"/>
      <c r="C890" s="73"/>
    </row>
    <row r="891" ht="15.75" customHeight="1">
      <c r="B891" s="73"/>
      <c r="C891" s="73"/>
    </row>
    <row r="892" ht="15.75" customHeight="1">
      <c r="B892" s="73"/>
      <c r="C892" s="73"/>
    </row>
    <row r="893" ht="15.75" customHeight="1">
      <c r="B893" s="73"/>
      <c r="C893" s="73"/>
    </row>
    <row r="894" ht="15.75" customHeight="1">
      <c r="B894" s="73"/>
      <c r="C894" s="73"/>
    </row>
    <row r="895" ht="15.75" customHeight="1">
      <c r="B895" s="73"/>
      <c r="C895" s="73"/>
    </row>
    <row r="896" ht="15.75" customHeight="1">
      <c r="B896" s="73"/>
      <c r="C896" s="73"/>
    </row>
    <row r="897" ht="15.75" customHeight="1">
      <c r="B897" s="73"/>
      <c r="C897" s="73"/>
    </row>
    <row r="898" ht="15.75" customHeight="1">
      <c r="B898" s="73"/>
      <c r="C898" s="73"/>
    </row>
    <row r="899" ht="15.75" customHeight="1">
      <c r="B899" s="73"/>
      <c r="C899" s="73"/>
    </row>
    <row r="900" ht="15.75" customHeight="1">
      <c r="B900" s="73"/>
      <c r="C900" s="73"/>
    </row>
    <row r="901" ht="15.75" customHeight="1">
      <c r="B901" s="73"/>
      <c r="C901" s="73"/>
    </row>
    <row r="902" ht="15.75" customHeight="1">
      <c r="B902" s="73"/>
      <c r="C902" s="73"/>
    </row>
    <row r="903" ht="15.75" customHeight="1">
      <c r="B903" s="73"/>
      <c r="C903" s="73"/>
    </row>
    <row r="904" ht="15.75" customHeight="1">
      <c r="B904" s="73"/>
      <c r="C904" s="73"/>
    </row>
    <row r="905" ht="15.75" customHeight="1">
      <c r="B905" s="73"/>
      <c r="C905" s="73"/>
    </row>
    <row r="906" ht="15.75" customHeight="1">
      <c r="B906" s="73"/>
      <c r="C906" s="73"/>
    </row>
    <row r="907" ht="15.75" customHeight="1">
      <c r="B907" s="73"/>
      <c r="C907" s="73"/>
    </row>
    <row r="908" ht="15.75" customHeight="1">
      <c r="B908" s="73"/>
      <c r="C908" s="73"/>
    </row>
    <row r="909" ht="15.75" customHeight="1">
      <c r="B909" s="73"/>
      <c r="C909" s="73"/>
    </row>
    <row r="910" ht="15.75" customHeight="1">
      <c r="B910" s="73"/>
      <c r="C910" s="73"/>
    </row>
    <row r="911" ht="15.75" customHeight="1">
      <c r="B911" s="73"/>
      <c r="C911" s="73"/>
    </row>
    <row r="912" ht="15.75" customHeight="1">
      <c r="B912" s="73"/>
      <c r="C912" s="73"/>
    </row>
    <row r="913" ht="15.75" customHeight="1">
      <c r="B913" s="73"/>
      <c r="C913" s="73"/>
    </row>
    <row r="914" ht="15.75" customHeight="1">
      <c r="B914" s="73"/>
      <c r="C914" s="73"/>
    </row>
    <row r="915" ht="15.75" customHeight="1">
      <c r="B915" s="73"/>
      <c r="C915" s="73"/>
    </row>
    <row r="916" ht="15.75" customHeight="1">
      <c r="B916" s="73"/>
      <c r="C916" s="73"/>
    </row>
    <row r="917" ht="15.75" customHeight="1">
      <c r="B917" s="73"/>
      <c r="C917" s="73"/>
    </row>
    <row r="918" ht="15.75" customHeight="1">
      <c r="B918" s="73"/>
      <c r="C918" s="73"/>
    </row>
    <row r="919" ht="15.75" customHeight="1">
      <c r="B919" s="73"/>
      <c r="C919" s="73"/>
    </row>
    <row r="920" ht="15.75" customHeight="1">
      <c r="B920" s="73"/>
      <c r="C920" s="73"/>
    </row>
    <row r="921" ht="15.75" customHeight="1">
      <c r="B921" s="73"/>
      <c r="C921" s="73"/>
    </row>
    <row r="922" ht="15.75" customHeight="1">
      <c r="B922" s="73"/>
      <c r="C922" s="73"/>
    </row>
    <row r="923" ht="15.75" customHeight="1">
      <c r="B923" s="73"/>
      <c r="C923" s="73"/>
    </row>
    <row r="924" ht="15.75" customHeight="1">
      <c r="B924" s="73"/>
      <c r="C924" s="73"/>
    </row>
    <row r="925" ht="15.75" customHeight="1">
      <c r="B925" s="73"/>
      <c r="C925" s="73"/>
    </row>
    <row r="926" ht="15.75" customHeight="1">
      <c r="B926" s="73"/>
      <c r="C926" s="73"/>
    </row>
    <row r="927" ht="15.75" customHeight="1">
      <c r="B927" s="73"/>
      <c r="C927" s="73"/>
    </row>
    <row r="928" ht="15.75" customHeight="1">
      <c r="B928" s="73"/>
      <c r="C928" s="73"/>
    </row>
    <row r="929" ht="15.75" customHeight="1">
      <c r="B929" s="73"/>
      <c r="C929" s="73"/>
    </row>
    <row r="930" ht="15.75" customHeight="1">
      <c r="B930" s="73"/>
      <c r="C930" s="73"/>
    </row>
    <row r="931" ht="15.75" customHeight="1">
      <c r="B931" s="73"/>
      <c r="C931" s="73"/>
    </row>
    <row r="932" ht="15.75" customHeight="1">
      <c r="B932" s="73"/>
      <c r="C932" s="73"/>
    </row>
    <row r="933" ht="15.75" customHeight="1">
      <c r="B933" s="73"/>
      <c r="C933" s="73"/>
    </row>
    <row r="934" ht="15.75" customHeight="1">
      <c r="B934" s="73"/>
      <c r="C934" s="73"/>
    </row>
    <row r="935" ht="15.75" customHeight="1">
      <c r="B935" s="73"/>
      <c r="C935" s="73"/>
    </row>
    <row r="936" ht="15.75" customHeight="1">
      <c r="B936" s="73"/>
      <c r="C936" s="73"/>
    </row>
    <row r="937" ht="15.75" customHeight="1">
      <c r="B937" s="73"/>
      <c r="C937" s="73"/>
    </row>
    <row r="938" ht="15.75" customHeight="1">
      <c r="B938" s="73"/>
      <c r="C938" s="73"/>
    </row>
    <row r="939" ht="15.75" customHeight="1">
      <c r="B939" s="73"/>
      <c r="C939" s="73"/>
    </row>
    <row r="940" ht="15.75" customHeight="1">
      <c r="B940" s="73"/>
      <c r="C940" s="73"/>
    </row>
    <row r="941" ht="15.75" customHeight="1">
      <c r="B941" s="73"/>
      <c r="C941" s="73"/>
    </row>
    <row r="942" ht="15.75" customHeight="1">
      <c r="B942" s="73"/>
      <c r="C942" s="73"/>
    </row>
    <row r="943" ht="15.75" customHeight="1">
      <c r="B943" s="73"/>
      <c r="C943" s="73"/>
    </row>
    <row r="944" ht="15.75" customHeight="1">
      <c r="B944" s="73"/>
      <c r="C944" s="73"/>
    </row>
    <row r="945" ht="15.75" customHeight="1">
      <c r="B945" s="73"/>
      <c r="C945" s="73"/>
    </row>
    <row r="946" ht="15.75" customHeight="1">
      <c r="B946" s="73"/>
      <c r="C946" s="73"/>
    </row>
    <row r="947" ht="15.75" customHeight="1">
      <c r="B947" s="73"/>
      <c r="C947" s="73"/>
    </row>
    <row r="948" ht="15.75" customHeight="1">
      <c r="B948" s="73"/>
      <c r="C948" s="73"/>
    </row>
    <row r="949" ht="15.75" customHeight="1">
      <c r="B949" s="73"/>
      <c r="C949" s="73"/>
    </row>
    <row r="950" ht="15.75" customHeight="1">
      <c r="B950" s="73"/>
      <c r="C950" s="73"/>
    </row>
    <row r="951" ht="15.75" customHeight="1">
      <c r="B951" s="73"/>
      <c r="C951" s="73"/>
    </row>
    <row r="952" ht="15.75" customHeight="1">
      <c r="B952" s="73"/>
      <c r="C952" s="73"/>
    </row>
    <row r="953" ht="15.75" customHeight="1">
      <c r="B953" s="73"/>
      <c r="C953" s="73"/>
    </row>
    <row r="954" ht="15.75" customHeight="1">
      <c r="B954" s="73"/>
      <c r="C954" s="73"/>
    </row>
    <row r="955" ht="15.75" customHeight="1">
      <c r="B955" s="73"/>
      <c r="C955" s="73"/>
    </row>
    <row r="956" ht="15.75" customHeight="1">
      <c r="B956" s="73"/>
      <c r="C956" s="73"/>
    </row>
    <row r="957" ht="15.75" customHeight="1">
      <c r="B957" s="73"/>
      <c r="C957" s="73"/>
    </row>
    <row r="958" ht="15.75" customHeight="1">
      <c r="B958" s="73"/>
      <c r="C958" s="73"/>
    </row>
    <row r="959" ht="15.75" customHeight="1">
      <c r="B959" s="73"/>
      <c r="C959" s="73"/>
    </row>
    <row r="960" ht="15.75" customHeight="1">
      <c r="B960" s="73"/>
      <c r="C960" s="73"/>
    </row>
    <row r="961" ht="15.75" customHeight="1">
      <c r="B961" s="73"/>
      <c r="C961" s="73"/>
    </row>
    <row r="962" ht="15.75" customHeight="1">
      <c r="B962" s="73"/>
      <c r="C962" s="73"/>
    </row>
    <row r="963" ht="15.75" customHeight="1">
      <c r="B963" s="73"/>
      <c r="C963" s="73"/>
    </row>
    <row r="964" ht="15.75" customHeight="1">
      <c r="B964" s="73"/>
      <c r="C964" s="73"/>
    </row>
    <row r="965" ht="15.75" customHeight="1">
      <c r="B965" s="73"/>
      <c r="C965" s="73"/>
    </row>
    <row r="966" ht="15.75" customHeight="1">
      <c r="B966" s="73"/>
      <c r="C966" s="73"/>
    </row>
    <row r="967" ht="15.75" customHeight="1">
      <c r="B967" s="73"/>
      <c r="C967" s="73"/>
    </row>
    <row r="968" ht="15.75" customHeight="1">
      <c r="B968" s="73"/>
      <c r="C968" s="73"/>
    </row>
    <row r="969" ht="15.75" customHeight="1">
      <c r="B969" s="73"/>
      <c r="C969" s="73"/>
    </row>
    <row r="970" ht="15.75" customHeight="1">
      <c r="B970" s="73"/>
      <c r="C970" s="73"/>
    </row>
    <row r="971" ht="15.75" customHeight="1">
      <c r="B971" s="73"/>
      <c r="C971" s="73"/>
    </row>
    <row r="972" ht="15.75" customHeight="1">
      <c r="B972" s="73"/>
      <c r="C972" s="73"/>
    </row>
    <row r="973" ht="15.75" customHeight="1">
      <c r="B973" s="73"/>
      <c r="C973" s="73"/>
    </row>
    <row r="974" ht="15.75" customHeight="1">
      <c r="B974" s="73"/>
      <c r="C974" s="73"/>
    </row>
    <row r="975" ht="15.75" customHeight="1">
      <c r="B975" s="73"/>
      <c r="C975" s="73"/>
    </row>
    <row r="976" ht="15.75" customHeight="1">
      <c r="B976" s="73"/>
      <c r="C976" s="73"/>
    </row>
    <row r="977" ht="15.75" customHeight="1">
      <c r="B977" s="73"/>
      <c r="C977" s="73"/>
    </row>
    <row r="978" ht="15.75" customHeight="1">
      <c r="B978" s="73"/>
      <c r="C978" s="73"/>
    </row>
    <row r="979" ht="15.75" customHeight="1">
      <c r="B979" s="73"/>
      <c r="C979" s="73"/>
    </row>
    <row r="980" ht="15.75" customHeight="1">
      <c r="B980" s="73"/>
      <c r="C980" s="73"/>
    </row>
    <row r="981" ht="15.75" customHeight="1">
      <c r="B981" s="73"/>
      <c r="C981" s="73"/>
    </row>
    <row r="982" ht="15.75" customHeight="1">
      <c r="B982" s="73"/>
      <c r="C982" s="73"/>
    </row>
    <row r="983" ht="15.75" customHeight="1">
      <c r="B983" s="73"/>
      <c r="C983" s="73"/>
    </row>
    <row r="984" ht="15.75" customHeight="1">
      <c r="B984" s="73"/>
      <c r="C984" s="73"/>
    </row>
    <row r="985" ht="15.75" customHeight="1">
      <c r="B985" s="73"/>
      <c r="C985" s="73"/>
    </row>
    <row r="986" ht="15.75" customHeight="1">
      <c r="B986" s="73"/>
      <c r="C986" s="73"/>
    </row>
    <row r="987" ht="15.75" customHeight="1">
      <c r="B987" s="73"/>
      <c r="C987" s="73"/>
    </row>
    <row r="988" ht="15.75" customHeight="1">
      <c r="B988" s="73"/>
      <c r="C988" s="73"/>
    </row>
    <row r="989" ht="15.75" customHeight="1">
      <c r="B989" s="73"/>
      <c r="C989" s="73"/>
    </row>
    <row r="990" ht="15.75" customHeight="1">
      <c r="B990" s="73"/>
      <c r="C990" s="73"/>
    </row>
    <row r="991" ht="15.75" customHeight="1">
      <c r="B991" s="73"/>
      <c r="C991" s="73"/>
    </row>
    <row r="992" ht="15.75" customHeight="1">
      <c r="B992" s="73"/>
      <c r="C992" s="73"/>
    </row>
    <row r="993" ht="15.75" customHeight="1">
      <c r="B993" s="73"/>
      <c r="C993" s="73"/>
    </row>
    <row r="994" ht="15.75" customHeight="1">
      <c r="B994" s="73"/>
      <c r="C994" s="73"/>
    </row>
    <row r="995" ht="15.75" customHeight="1">
      <c r="B995" s="73"/>
      <c r="C995" s="73"/>
    </row>
    <row r="996" ht="15.75" customHeight="1">
      <c r="B996" s="73"/>
      <c r="C996" s="73"/>
    </row>
    <row r="997" ht="15.75" customHeight="1">
      <c r="B997" s="73"/>
      <c r="C997" s="73"/>
    </row>
    <row r="998" ht="15.75" customHeight="1">
      <c r="B998" s="73"/>
      <c r="C998" s="73"/>
    </row>
    <row r="999" ht="15.75" customHeight="1">
      <c r="B999" s="73"/>
      <c r="C999" s="73"/>
    </row>
    <row r="1000" ht="15.75" customHeight="1">
      <c r="B1000" s="73"/>
      <c r="C1000" s="73"/>
    </row>
  </sheetData>
  <mergeCells count="1">
    <mergeCell ref="B2:C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9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4.71"/>
    <col customWidth="1" min="3" max="3" width="14.0"/>
    <col customWidth="1" min="4" max="6" width="10.0"/>
    <col customWidth="1" min="7" max="7" width="15.86"/>
    <col customWidth="1" min="8" max="8" width="14.0"/>
    <col customWidth="1" min="9" max="11" width="10.0"/>
    <col customWidth="1" min="12" max="12" width="8.57"/>
    <col customWidth="1" min="13" max="13" width="14.0"/>
    <col customWidth="1" min="14" max="14" width="10.86"/>
    <col customWidth="1" min="15" max="16" width="10.0"/>
    <col customWidth="1" min="17" max="17" width="3.0"/>
    <col customWidth="1" min="18" max="18" width="14.0"/>
    <col customWidth="1" min="19" max="21" width="10.0"/>
    <col customWidth="1" min="22" max="22" width="0.57"/>
    <col customWidth="1" min="23" max="27" width="0.14"/>
  </cols>
  <sheetData>
    <row r="1" ht="7.5" customHeight="1"/>
    <row r="2" ht="36.0" customHeight="1">
      <c r="B2" s="193" t="s">
        <v>1760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W2" s="196" t="s">
        <v>1761</v>
      </c>
      <c r="X2" s="196" t="s">
        <v>1762</v>
      </c>
    </row>
    <row r="3" ht="7.5" customHeight="1">
      <c r="W3" s="197" t="s">
        <v>408</v>
      </c>
      <c r="X3" s="197">
        <v>39.0</v>
      </c>
    </row>
    <row r="4" ht="18.0" customHeight="1">
      <c r="B4" s="198" t="s">
        <v>1763</v>
      </c>
      <c r="C4" s="199"/>
      <c r="D4" s="200"/>
      <c r="E4" s="201"/>
      <c r="H4" s="202" t="s">
        <v>1764</v>
      </c>
      <c r="I4" s="203"/>
      <c r="J4" s="203"/>
      <c r="K4" s="204"/>
      <c r="L4" s="205" t="s">
        <v>1765</v>
      </c>
      <c r="M4" s="203"/>
      <c r="N4" s="203"/>
      <c r="O4" s="204"/>
      <c r="R4" s="206" t="s">
        <v>1766</v>
      </c>
      <c r="S4" s="203"/>
      <c r="T4" s="203"/>
      <c r="U4" s="204"/>
      <c r="W4" s="197" t="s">
        <v>416</v>
      </c>
      <c r="X4" s="197">
        <v>29.0</v>
      </c>
    </row>
    <row r="5">
      <c r="B5" s="207">
        <f>COUNTIF('Publication Status Tracker NIE'!G:G,"Published")</f>
        <v>216</v>
      </c>
      <c r="C5" s="208"/>
      <c r="D5" s="208"/>
      <c r="E5" s="209"/>
      <c r="H5" s="210">
        <f>COUNTIF('Publication Status Tracker NIE'!G:G,"Accepted")+COUNTIF('Publication Status Tracker NIE'!G:G,"Under Review")+COUNTIF('Publication Status Tracker NIE'!G:G,"Submitted")+COUNTIF('Publication Status Tracker NIE'!G:G,"Revision Required")</f>
        <v>260</v>
      </c>
      <c r="I5" s="208"/>
      <c r="J5" s="208"/>
      <c r="K5" s="209"/>
      <c r="L5" s="211">
        <f>IFERROR(COUNTIF('Publication Status Tracker NIE'!G:G,"Published")/'Dept &amp; Faculty'!G11,0)</f>
        <v>27</v>
      </c>
      <c r="M5" s="208"/>
      <c r="N5" s="208"/>
      <c r="O5" s="209"/>
      <c r="R5" s="212">
        <f>COUNTIF('Publication Status Tracker NIE'!O:O,"Q1")+COUNTIF('Publication Status Tracker NIE'!O:O,"Q2")</f>
        <v>170</v>
      </c>
      <c r="S5" s="208"/>
      <c r="T5" s="208"/>
      <c r="U5" s="209"/>
      <c r="W5" s="197" t="s">
        <v>84</v>
      </c>
      <c r="X5" s="197">
        <v>23.0</v>
      </c>
    </row>
    <row r="6" ht="18.0" customHeight="1">
      <c r="B6" s="213" t="s">
        <v>1767</v>
      </c>
      <c r="C6" s="214"/>
      <c r="D6" s="214"/>
      <c r="E6" s="215"/>
      <c r="H6" s="216" t="s">
        <v>1768</v>
      </c>
      <c r="I6" s="214"/>
      <c r="J6" s="214"/>
      <c r="K6" s="215"/>
      <c r="L6" s="217" t="s">
        <v>1769</v>
      </c>
      <c r="M6" s="214"/>
      <c r="N6" s="214"/>
      <c r="O6" s="215"/>
      <c r="R6" s="218" t="s">
        <v>1770</v>
      </c>
      <c r="S6" s="214"/>
      <c r="T6" s="214"/>
      <c r="U6" s="215"/>
      <c r="W6" s="197" t="s">
        <v>34</v>
      </c>
      <c r="X6" s="197">
        <v>31.0</v>
      </c>
    </row>
    <row r="7" ht="18.0" customHeight="1">
      <c r="W7" s="197" t="s">
        <v>186</v>
      </c>
      <c r="X7" s="197">
        <v>22.0</v>
      </c>
    </row>
    <row r="8" ht="7.5" customHeight="1">
      <c r="W8" s="197" t="s">
        <v>199</v>
      </c>
      <c r="X8" s="197">
        <v>15.0</v>
      </c>
    </row>
    <row r="9" ht="21.75" customHeight="1">
      <c r="B9" s="219" t="s">
        <v>1771</v>
      </c>
      <c r="C9" s="220"/>
      <c r="D9" s="220"/>
      <c r="E9" s="221"/>
      <c r="H9" s="222" t="s">
        <v>1772</v>
      </c>
      <c r="I9" s="220"/>
      <c r="J9" s="220"/>
      <c r="K9" s="221"/>
      <c r="M9" s="222" t="s">
        <v>1773</v>
      </c>
      <c r="N9" s="220"/>
      <c r="O9" s="220"/>
      <c r="P9" s="221"/>
      <c r="R9" s="222" t="s">
        <v>1774</v>
      </c>
      <c r="S9" s="220"/>
      <c r="T9" s="220"/>
      <c r="U9" s="221"/>
      <c r="W9" s="197" t="s">
        <v>629</v>
      </c>
      <c r="X9" s="197">
        <v>12.0</v>
      </c>
    </row>
    <row r="10" ht="21.75" customHeight="1">
      <c r="B10" s="223" t="s">
        <v>1775</v>
      </c>
      <c r="C10" s="224">
        <f>COUNTIF('Publication Status Tracker NIE'!G:G,"Draft / Work in Progress")</f>
        <v>35</v>
      </c>
      <c r="D10" s="225">
        <f>IFERROR(C10/SUM(C10:C16)*100,0)</f>
        <v>6.756756757</v>
      </c>
      <c r="E10" s="226"/>
      <c r="H10" s="227" t="s">
        <v>1776</v>
      </c>
      <c r="I10" s="228">
        <f>COUNTIF('Publication Status Tracker NIE'!O:O,"Q1")</f>
        <v>65</v>
      </c>
      <c r="J10" s="229">
        <f>IFERROR(I10/SUM(I10:I15)*100,0)</f>
        <v>11.86131387</v>
      </c>
      <c r="K10" s="230"/>
      <c r="M10" s="231" t="s">
        <v>40</v>
      </c>
      <c r="N10" s="232">
        <f>COUNTIF('Publication Status Tracker NIE'!L:L,"Journal Article")</f>
        <v>313</v>
      </c>
      <c r="O10" s="233">
        <f>IFERROR(N10/SUM(N10:N14)*100,0)</f>
        <v>63.87755102</v>
      </c>
      <c r="P10" s="234"/>
      <c r="R10" s="231" t="s">
        <v>1777</v>
      </c>
      <c r="S10" s="232">
        <f>COUNTIF('Publication Status Tracker NIE'!D:D,"South")</f>
        <v>321</v>
      </c>
      <c r="T10" s="233">
        <f>IFERROR(S10/SUM(S10:S11)*100,0)</f>
        <v>61.49425287</v>
      </c>
      <c r="U10" s="234"/>
      <c r="W10" s="197" t="s">
        <v>218</v>
      </c>
      <c r="X10" s="197">
        <v>12.0</v>
      </c>
    </row>
    <row r="11" ht="21.75" customHeight="1">
      <c r="B11" s="235" t="s">
        <v>91</v>
      </c>
      <c r="C11" s="236">
        <f>COUNTIF('Publication Status Tracker NIE'!G:G,"Submitted")</f>
        <v>41</v>
      </c>
      <c r="D11" s="237">
        <f>IFERROR(C11/SUM(C10:C16)*100,0)</f>
        <v>7.915057915</v>
      </c>
      <c r="E11" s="238"/>
      <c r="H11" s="239" t="s">
        <v>1778</v>
      </c>
      <c r="I11" s="240">
        <f>COUNTIF('Publication Status Tracker NIE'!O:O,"Q2")</f>
        <v>105</v>
      </c>
      <c r="J11" s="241">
        <f>IFERROR(I11/SUM(I10:I15)*100,0)</f>
        <v>19.16058394</v>
      </c>
      <c r="K11" s="242"/>
      <c r="M11" s="243" t="s">
        <v>64</v>
      </c>
      <c r="N11" s="244">
        <f>COUNTIF('Publication Status Tracker NIE'!L:L,"Conference Paper")</f>
        <v>110</v>
      </c>
      <c r="O11" s="245">
        <f>IFERROR(N11/SUM(N10:N14)*100,0)</f>
        <v>22.44897959</v>
      </c>
      <c r="P11" s="246"/>
      <c r="R11" s="243" t="s">
        <v>1779</v>
      </c>
      <c r="S11" s="244">
        <f>COUNTIF('Publication Status Tracker NIE'!D:D,"North")</f>
        <v>201</v>
      </c>
      <c r="T11" s="245">
        <f>IFERROR(S11/SUM(S10:S11)*100,0)</f>
        <v>38.50574713</v>
      </c>
      <c r="U11" s="246"/>
      <c r="W11" s="197" t="s">
        <v>133</v>
      </c>
      <c r="X11" s="197">
        <v>9.0</v>
      </c>
    </row>
    <row r="12" ht="21.75" customHeight="1">
      <c r="B12" s="235" t="s">
        <v>38</v>
      </c>
      <c r="C12" s="236">
        <f>COUNTIF('Publication Status Tracker NIE'!G:G,"Under Review")</f>
        <v>83</v>
      </c>
      <c r="D12" s="237">
        <f>IFERROR(C12/SUM(C10:C16)*100,0)</f>
        <v>16.02316602</v>
      </c>
      <c r="E12" s="238"/>
      <c r="H12" s="231" t="s">
        <v>1780</v>
      </c>
      <c r="I12" s="232">
        <f>COUNTIF('Publication Status Tracker NIE'!O:O,"Q3")</f>
        <v>96</v>
      </c>
      <c r="J12" s="233">
        <f>IFERROR(I12/SUM(I10:I15)*100,0)</f>
        <v>17.51824818</v>
      </c>
      <c r="K12" s="234"/>
      <c r="M12" s="239" t="s">
        <v>56</v>
      </c>
      <c r="N12" s="240">
        <f>COUNTIF('Publication Status Tracker NIE'!L:L,"Book Chapter")</f>
        <v>60</v>
      </c>
      <c r="O12" s="241">
        <f>IFERROR(N12/SUM(N10:N14)*100,0)</f>
        <v>12.24489796</v>
      </c>
      <c r="P12" s="242"/>
      <c r="W12" s="197" t="s">
        <v>387</v>
      </c>
      <c r="X12" s="197">
        <v>5.0</v>
      </c>
    </row>
    <row r="13" ht="21.75" customHeight="1">
      <c r="B13" s="247" t="s">
        <v>1781</v>
      </c>
      <c r="C13" s="248">
        <f>COUNTIF('Publication Status Tracker NIE'!G:G,"Revision Required")</f>
        <v>16</v>
      </c>
      <c r="D13" s="249">
        <f>IFERROR(C13/SUM(C10:C16)*100,0)</f>
        <v>3.088803089</v>
      </c>
      <c r="E13" s="250"/>
      <c r="H13" s="251" t="s">
        <v>1782</v>
      </c>
      <c r="I13" s="252">
        <f>COUNTIF('Publication Status Tracker NIE'!O:O,"Q4")</f>
        <v>49</v>
      </c>
      <c r="J13" s="253">
        <f>IFERROR(I13/SUM(I10:I15)*100,0)</f>
        <v>8.941605839</v>
      </c>
      <c r="K13" s="254"/>
      <c r="M13" s="227" t="s">
        <v>450</v>
      </c>
      <c r="N13" s="228">
        <f>COUNTIF('Publication Status Tracker NIE'!L:L,"Review Article")</f>
        <v>4</v>
      </c>
      <c r="O13" s="229">
        <f>IFERROR(N13/SUM(N10:N14)*100,0)</f>
        <v>0.8163265306</v>
      </c>
      <c r="P13" s="230"/>
    </row>
    <row r="14">
      <c r="B14" s="255" t="s">
        <v>75</v>
      </c>
      <c r="C14" s="256">
        <f>COUNTIF('Publication Status Tracker NIE'!G:G,"Accepted")</f>
        <v>120</v>
      </c>
      <c r="D14" s="257">
        <f>IFERROR(C14/SUM(C10:C16)*100,0)</f>
        <v>23.16602317</v>
      </c>
      <c r="E14" s="258"/>
      <c r="H14" s="243" t="s">
        <v>1783</v>
      </c>
      <c r="I14" s="244">
        <f>COUNTIF('Publication Status Tracker NIE'!P:P,"Yes")</f>
        <v>146</v>
      </c>
      <c r="J14" s="245">
        <f>IFERROR(I14/SUM(I10:I15)*100,0)</f>
        <v>26.64233577</v>
      </c>
      <c r="K14" s="246"/>
      <c r="M14" s="251" t="s">
        <v>1784</v>
      </c>
      <c r="N14" s="259">
        <f>COUNTIF('Publication Status Tracker NIE'!L:L,"Other Publication")</f>
        <v>3</v>
      </c>
      <c r="O14" s="253">
        <f>IFERROR(N14/SUM(N10:N14)*100,0)</f>
        <v>0.612244898</v>
      </c>
      <c r="P14" s="254"/>
    </row>
    <row r="15" ht="21.75" customHeight="1">
      <c r="B15" s="260" t="s">
        <v>49</v>
      </c>
      <c r="C15" s="261">
        <f>COUNTIF('Publication Status Tracker NIE'!G:G,"Published")</f>
        <v>216</v>
      </c>
      <c r="D15" s="262">
        <f>IFERROR(C15/SUM(C10:C16)*100,0)</f>
        <v>41.6988417</v>
      </c>
      <c r="E15" s="263"/>
      <c r="H15" s="251" t="s">
        <v>257</v>
      </c>
      <c r="I15" s="259">
        <f>COUNTIF('Publication Status Tracker NIE'!O:O,"Unspecified")</f>
        <v>87</v>
      </c>
      <c r="J15" s="253">
        <f>IFERROR(I15/SUM(I10:I15)*100,0)</f>
        <v>15.87591241</v>
      </c>
      <c r="K15" s="254"/>
    </row>
    <row r="16" ht="21.75" customHeight="1">
      <c r="B16" s="264" t="s">
        <v>364</v>
      </c>
      <c r="C16" s="265">
        <f>COUNTIF('Publication Status Tracker NIE'!G:G,"Rejected")</f>
        <v>7</v>
      </c>
      <c r="D16" s="266">
        <f>IFERROR(C16/SUM(C10:C16)*100,0)</f>
        <v>1.351351351</v>
      </c>
      <c r="E16" s="267"/>
    </row>
    <row r="17" ht="21.75" customHeight="1">
      <c r="B17" s="268" t="s">
        <v>1785</v>
      </c>
      <c r="C17" s="269">
        <f>SUM(C10:C16)</f>
        <v>518</v>
      </c>
      <c r="D17" s="270" t="s">
        <v>1786</v>
      </c>
    </row>
    <row r="18" ht="7.5" customHeight="1"/>
    <row r="19" ht="36.0" customHeight="1">
      <c r="B19" s="271" t="s">
        <v>1787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1"/>
    </row>
    <row r="20" ht="24.0" customHeight="1">
      <c r="C20" s="272" t="s">
        <v>5</v>
      </c>
      <c r="D20" s="272" t="s">
        <v>1788</v>
      </c>
      <c r="E20" s="272" t="s">
        <v>1789</v>
      </c>
      <c r="F20" s="272" t="s">
        <v>49</v>
      </c>
      <c r="G20" s="272" t="s">
        <v>1790</v>
      </c>
      <c r="H20" s="272" t="s">
        <v>1791</v>
      </c>
      <c r="I20" s="272" t="s">
        <v>1792</v>
      </c>
      <c r="J20" s="272" t="s">
        <v>1793</v>
      </c>
      <c r="K20" s="272" t="s">
        <v>1794</v>
      </c>
      <c r="L20" s="272" t="s">
        <v>1795</v>
      </c>
      <c r="M20" s="272" t="s">
        <v>1796</v>
      </c>
      <c r="N20" s="272" t="s">
        <v>9</v>
      </c>
    </row>
    <row r="21" ht="18.0" customHeight="1">
      <c r="C21" s="273" t="s">
        <v>408</v>
      </c>
      <c r="D21" s="274">
        <v>39.0</v>
      </c>
      <c r="E21" s="275">
        <f t="shared" ref="E21:E30" si="1">D21*$D$4</f>
        <v>0</v>
      </c>
      <c r="F21" s="276">
        <f>COUNTIFS('Publication Status Tracker NIE'!C:C,C21,'Publication Status Tracker NIE'!G:G,"Published")</f>
        <v>26</v>
      </c>
      <c r="G21" s="277">
        <f>COUNTIFS('Publication Status Tracker NIE'!C:C,C21,'Publication Status Tracker NIE'!G:G,"Accepted")+COUNTIFS('Publication Status Tracker NIE'!C:C,C21,'Publication Status Tracker NIE'!G:G,"Under Review")+COUNTIFS('Publication Status Tracker NIE'!C:C,C21,'Publication Status Tracker NIE'!G:G,"Submitted")+COUNTIFS('Publication Status Tracker NIE'!C:C,C21,'Publication Status Tracker NIE'!G:G,"Revision Required")</f>
        <v>37</v>
      </c>
      <c r="H21" s="278">
        <f t="shared" ref="H21:H31" si="2">IFERROR(F21/D21,0)</f>
        <v>0.6666666667</v>
      </c>
      <c r="I21" s="279">
        <f t="shared" ref="I21:I31" si="3">E21-F21</f>
        <v>-26</v>
      </c>
      <c r="J21" s="277">
        <f>COUNTIFS('Publication Status Tracker NIE'!C:C,C21,'Publication Status Tracker NIE'!O:O,"Q1")+COUNTIFS('Publication Status Tracker NIE'!C:C,C21,'Publication Status Tracker NIE'!O:O,"Q2")</f>
        <v>13</v>
      </c>
      <c r="K21" s="280">
        <f t="shared" ref="K21:K31" si="4">IFERROR(J21/F21*100,0)</f>
        <v>50</v>
      </c>
      <c r="L21" s="274">
        <f>COUNTIFS('Publication Status Tracker NIE'!C:C,C21,'Publication Status Tracker NIE'!G:G,"Draft / Work in Progress")</f>
        <v>6</v>
      </c>
      <c r="M21" s="281">
        <f t="shared" ref="M21:M31" si="5">IFERROR(F21/E21*100,0)</f>
        <v>0</v>
      </c>
      <c r="N21" s="282" t="str">
        <f t="shared" ref="N21:N30" si="6">IF(H21&gt;=$D$4,"✓ On Target",IF(H21&gt;=$D$4*0.66,"⚠ Approaching",IF(H21&gt;=$D$4*0.33,"↑ Improving","✗ Needs Action")))</f>
        <v>✓ On Target</v>
      </c>
    </row>
    <row r="22" ht="18.0" customHeight="1">
      <c r="C22" s="283" t="s">
        <v>416</v>
      </c>
      <c r="D22" s="284">
        <v>29.0</v>
      </c>
      <c r="E22" s="285">
        <f t="shared" si="1"/>
        <v>0</v>
      </c>
      <c r="F22" s="286">
        <f>COUNTIFS('Publication Status Tracker NIE'!C:C,C22,'Publication Status Tracker NIE'!G:G,"Published")</f>
        <v>30</v>
      </c>
      <c r="G22" s="287">
        <f>COUNTIFS('Publication Status Tracker NIE'!C:C,C22,'Publication Status Tracker NIE'!G:G,"Accepted")+COUNTIFS('Publication Status Tracker NIE'!C:C,C22,'Publication Status Tracker NIE'!G:G,"Under Review")+COUNTIFS('Publication Status Tracker NIE'!C:C,C22,'Publication Status Tracker NIE'!G:G,"Submitted")+COUNTIFS('Publication Status Tracker NIE'!C:C,C22,'Publication Status Tracker NIE'!G:G,"Revision Required")</f>
        <v>41</v>
      </c>
      <c r="H22" s="288">
        <f t="shared" si="2"/>
        <v>1.034482759</v>
      </c>
      <c r="I22" s="289">
        <f t="shared" si="3"/>
        <v>-30</v>
      </c>
      <c r="J22" s="287">
        <f>COUNTIFS('Publication Status Tracker NIE'!C:C,C22,'Publication Status Tracker NIE'!O:O,"Q1")+COUNTIFS('Publication Status Tracker NIE'!C:C,C22,'Publication Status Tracker NIE'!O:O,"Q2")</f>
        <v>16</v>
      </c>
      <c r="K22" s="290">
        <f t="shared" si="4"/>
        <v>53.33333333</v>
      </c>
      <c r="L22" s="284">
        <f>COUNTIFS('Publication Status Tracker NIE'!C:C,C22,'Publication Status Tracker NIE'!G:G,"Draft / Work in Progress")</f>
        <v>13</v>
      </c>
      <c r="M22" s="291">
        <f t="shared" si="5"/>
        <v>0</v>
      </c>
      <c r="N22" s="292" t="str">
        <f t="shared" si="6"/>
        <v>✓ On Target</v>
      </c>
    </row>
    <row r="23" ht="18.0" customHeight="1">
      <c r="C23" s="273" t="s">
        <v>84</v>
      </c>
      <c r="D23" s="274">
        <v>23.0</v>
      </c>
      <c r="E23" s="275">
        <f t="shared" si="1"/>
        <v>0</v>
      </c>
      <c r="F23" s="276">
        <f>COUNTIFS('Publication Status Tracker NIE'!C:C,C23,'Publication Status Tracker NIE'!G:G,"Published")</f>
        <v>29</v>
      </c>
      <c r="G23" s="277">
        <f>COUNTIFS('Publication Status Tracker NIE'!C:C,C23,'Publication Status Tracker NIE'!G:G,"Accepted")+COUNTIFS('Publication Status Tracker NIE'!C:C,C23,'Publication Status Tracker NIE'!G:G,"Under Review")+COUNTIFS('Publication Status Tracker NIE'!C:C,C23,'Publication Status Tracker NIE'!G:G,"Submitted")+COUNTIFS('Publication Status Tracker NIE'!C:C,C23,'Publication Status Tracker NIE'!G:G,"Revision Required")</f>
        <v>49</v>
      </c>
      <c r="H23" s="278">
        <f t="shared" si="2"/>
        <v>1.260869565</v>
      </c>
      <c r="I23" s="279">
        <f t="shared" si="3"/>
        <v>-29</v>
      </c>
      <c r="J23" s="277">
        <f>COUNTIFS('Publication Status Tracker NIE'!C:C,C23,'Publication Status Tracker NIE'!O:O,"Q1")+COUNTIFS('Publication Status Tracker NIE'!C:C,C23,'Publication Status Tracker NIE'!O:O,"Q2")</f>
        <v>33</v>
      </c>
      <c r="K23" s="280">
        <f t="shared" si="4"/>
        <v>113.7931034</v>
      </c>
      <c r="L23" s="274">
        <f>COUNTIFS('Publication Status Tracker NIE'!C:C,C23,'Publication Status Tracker NIE'!G:G,"Draft / Work in Progress")</f>
        <v>9</v>
      </c>
      <c r="M23" s="281">
        <f t="shared" si="5"/>
        <v>0</v>
      </c>
      <c r="N23" s="282" t="str">
        <f t="shared" si="6"/>
        <v>✓ On Target</v>
      </c>
    </row>
    <row r="24" ht="18.0" customHeight="1">
      <c r="C24" s="283" t="s">
        <v>34</v>
      </c>
      <c r="D24" s="284">
        <v>31.0</v>
      </c>
      <c r="E24" s="285">
        <f t="shared" si="1"/>
        <v>0</v>
      </c>
      <c r="F24" s="286">
        <f>COUNTIFS('Publication Status Tracker NIE'!C:C,C24,'Publication Status Tracker NIE'!G:G,"Published")</f>
        <v>21</v>
      </c>
      <c r="G24" s="287">
        <f>COUNTIFS('Publication Status Tracker NIE'!C:C,C24,'Publication Status Tracker NIE'!G:G,"Accepted")+COUNTIFS('Publication Status Tracker NIE'!C:C,C24,'Publication Status Tracker NIE'!G:G,"Under Review")+COUNTIFS('Publication Status Tracker NIE'!C:C,C24,'Publication Status Tracker NIE'!G:G,"Submitted")+COUNTIFS('Publication Status Tracker NIE'!C:C,C24,'Publication Status Tracker NIE'!G:G,"Revision Required")</f>
        <v>40</v>
      </c>
      <c r="H24" s="288">
        <f t="shared" si="2"/>
        <v>0.6774193548</v>
      </c>
      <c r="I24" s="289">
        <f t="shared" si="3"/>
        <v>-21</v>
      </c>
      <c r="J24" s="287">
        <f>COUNTIFS('Publication Status Tracker NIE'!C:C,C24,'Publication Status Tracker NIE'!O:O,"Q1")+COUNTIFS('Publication Status Tracker NIE'!C:C,C24,'Publication Status Tracker NIE'!O:O,"Q2")</f>
        <v>17</v>
      </c>
      <c r="K24" s="290">
        <f t="shared" si="4"/>
        <v>80.95238095</v>
      </c>
      <c r="L24" s="284">
        <f>COUNTIFS('Publication Status Tracker NIE'!C:C,C24,'Publication Status Tracker NIE'!G:G,"Draft / Work in Progress")</f>
        <v>0</v>
      </c>
      <c r="M24" s="291">
        <f t="shared" si="5"/>
        <v>0</v>
      </c>
      <c r="N24" s="292" t="str">
        <f t="shared" si="6"/>
        <v>✓ On Target</v>
      </c>
    </row>
    <row r="25" ht="18.0" customHeight="1">
      <c r="C25" s="273" t="s">
        <v>186</v>
      </c>
      <c r="D25" s="274">
        <v>22.0</v>
      </c>
      <c r="E25" s="275">
        <f t="shared" si="1"/>
        <v>0</v>
      </c>
      <c r="F25" s="276">
        <f>COUNTIFS('Publication Status Tracker NIE'!C:C,C25,'Publication Status Tracker NIE'!G:G,"Published")</f>
        <v>12</v>
      </c>
      <c r="G25" s="277">
        <f>COUNTIFS('Publication Status Tracker NIE'!C:C,C25,'Publication Status Tracker NIE'!G:G,"Accepted")+COUNTIFS('Publication Status Tracker NIE'!C:C,C25,'Publication Status Tracker NIE'!G:G,"Under Review")+COUNTIFS('Publication Status Tracker NIE'!C:C,C25,'Publication Status Tracker NIE'!G:G,"Submitted")+COUNTIFS('Publication Status Tracker NIE'!C:C,C25,'Publication Status Tracker NIE'!G:G,"Revision Required")</f>
        <v>33</v>
      </c>
      <c r="H25" s="278">
        <f t="shared" si="2"/>
        <v>0.5454545455</v>
      </c>
      <c r="I25" s="279">
        <f t="shared" si="3"/>
        <v>-12</v>
      </c>
      <c r="J25" s="277">
        <f>COUNTIFS('Publication Status Tracker NIE'!C:C,C25,'Publication Status Tracker NIE'!O:O,"Q1")+COUNTIFS('Publication Status Tracker NIE'!C:C,C25,'Publication Status Tracker NIE'!O:O,"Q2")</f>
        <v>18</v>
      </c>
      <c r="K25" s="280">
        <f t="shared" si="4"/>
        <v>150</v>
      </c>
      <c r="L25" s="274">
        <f>COUNTIFS('Publication Status Tracker NIE'!C:C,C25,'Publication Status Tracker NIE'!G:G,"Draft / Work in Progress")</f>
        <v>0</v>
      </c>
      <c r="M25" s="281">
        <f t="shared" si="5"/>
        <v>0</v>
      </c>
      <c r="N25" s="282" t="str">
        <f t="shared" si="6"/>
        <v>✓ On Target</v>
      </c>
    </row>
    <row r="26" ht="18.0" customHeight="1">
      <c r="C26" s="283" t="s">
        <v>199</v>
      </c>
      <c r="D26" s="284">
        <v>15.0</v>
      </c>
      <c r="E26" s="285">
        <f t="shared" si="1"/>
        <v>0</v>
      </c>
      <c r="F26" s="286">
        <f>COUNTIFS('Publication Status Tracker NIE'!C:C,C26,'Publication Status Tracker NIE'!G:G,"Published")</f>
        <v>9</v>
      </c>
      <c r="G26" s="287">
        <f>COUNTIFS('Publication Status Tracker NIE'!C:C,C26,'Publication Status Tracker NIE'!G:G,"Accepted")+COUNTIFS('Publication Status Tracker NIE'!C:C,C26,'Publication Status Tracker NIE'!G:G,"Under Review")+COUNTIFS('Publication Status Tracker NIE'!C:C,C26,'Publication Status Tracker NIE'!G:G,"Submitted")+COUNTIFS('Publication Status Tracker NIE'!C:C,C26,'Publication Status Tracker NIE'!G:G,"Revision Required")</f>
        <v>15</v>
      </c>
      <c r="H26" s="288">
        <f t="shared" si="2"/>
        <v>0.6</v>
      </c>
      <c r="I26" s="289">
        <f t="shared" si="3"/>
        <v>-9</v>
      </c>
      <c r="J26" s="287">
        <f>COUNTIFS('Publication Status Tracker NIE'!C:C,C26,'Publication Status Tracker NIE'!O:O,"Q1")+COUNTIFS('Publication Status Tracker NIE'!C:C,C26,'Publication Status Tracker NIE'!O:O,"Q2")</f>
        <v>4</v>
      </c>
      <c r="K26" s="290">
        <f t="shared" si="4"/>
        <v>44.44444444</v>
      </c>
      <c r="L26" s="284">
        <f>COUNTIFS('Publication Status Tracker NIE'!C:C,C26,'Publication Status Tracker NIE'!G:G,"Draft / Work in Progress")</f>
        <v>3</v>
      </c>
      <c r="M26" s="291">
        <f t="shared" si="5"/>
        <v>0</v>
      </c>
      <c r="N26" s="292" t="str">
        <f t="shared" si="6"/>
        <v>✓ On Target</v>
      </c>
    </row>
    <row r="27" ht="18.0" customHeight="1">
      <c r="C27" s="273" t="s">
        <v>629</v>
      </c>
      <c r="D27" s="274">
        <v>12.0</v>
      </c>
      <c r="E27" s="275">
        <f t="shared" si="1"/>
        <v>0</v>
      </c>
      <c r="F27" s="276">
        <f>COUNTIFS('Publication Status Tracker NIE'!C:C,C27,'Publication Status Tracker NIE'!G:G,"Published")</f>
        <v>19</v>
      </c>
      <c r="G27" s="277">
        <f>COUNTIFS('Publication Status Tracker NIE'!C:C,C27,'Publication Status Tracker NIE'!G:G,"Accepted")+COUNTIFS('Publication Status Tracker NIE'!C:C,C27,'Publication Status Tracker NIE'!G:G,"Under Review")+COUNTIFS('Publication Status Tracker NIE'!C:C,C27,'Publication Status Tracker NIE'!G:G,"Submitted")+COUNTIFS('Publication Status Tracker NIE'!C:C,C27,'Publication Status Tracker NIE'!G:G,"Revision Required")</f>
        <v>1</v>
      </c>
      <c r="H27" s="278">
        <f t="shared" si="2"/>
        <v>1.583333333</v>
      </c>
      <c r="I27" s="279">
        <f t="shared" si="3"/>
        <v>-19</v>
      </c>
      <c r="J27" s="277">
        <f>COUNTIFS('Publication Status Tracker NIE'!C:C,C27,'Publication Status Tracker NIE'!O:O,"Q1")+COUNTIFS('Publication Status Tracker NIE'!C:C,C27,'Publication Status Tracker NIE'!O:O,"Q2")</f>
        <v>0</v>
      </c>
      <c r="K27" s="280">
        <f t="shared" si="4"/>
        <v>0</v>
      </c>
      <c r="L27" s="274">
        <f>COUNTIFS('Publication Status Tracker NIE'!C:C,C27,'Publication Status Tracker NIE'!G:G,"Draft / Work in Progress")</f>
        <v>2</v>
      </c>
      <c r="M27" s="281">
        <f t="shared" si="5"/>
        <v>0</v>
      </c>
      <c r="N27" s="282" t="str">
        <f t="shared" si="6"/>
        <v>✓ On Target</v>
      </c>
    </row>
    <row r="28" ht="18.0" customHeight="1">
      <c r="C28" s="283" t="s">
        <v>218</v>
      </c>
      <c r="D28" s="284">
        <v>12.0</v>
      </c>
      <c r="E28" s="285">
        <f t="shared" si="1"/>
        <v>0</v>
      </c>
      <c r="F28" s="286">
        <f>COUNTIFS('Publication Status Tracker NIE'!C:C,C28,'Publication Status Tracker NIE'!G:G,"Published")</f>
        <v>9</v>
      </c>
      <c r="G28" s="287">
        <f>COUNTIFS('Publication Status Tracker NIE'!C:C,C28,'Publication Status Tracker NIE'!G:G,"Accepted")+COUNTIFS('Publication Status Tracker NIE'!C:C,C28,'Publication Status Tracker NIE'!G:G,"Under Review")+COUNTIFS('Publication Status Tracker NIE'!C:C,C28,'Publication Status Tracker NIE'!G:G,"Submitted")+COUNTIFS('Publication Status Tracker NIE'!C:C,C28,'Publication Status Tracker NIE'!G:G,"Revision Required")</f>
        <v>17</v>
      </c>
      <c r="H28" s="288">
        <f t="shared" si="2"/>
        <v>0.75</v>
      </c>
      <c r="I28" s="289">
        <f t="shared" si="3"/>
        <v>-9</v>
      </c>
      <c r="J28" s="287">
        <f>COUNTIFS('Publication Status Tracker NIE'!C:C,C28,'Publication Status Tracker NIE'!O:O,"Q1")+COUNTIFS('Publication Status Tracker NIE'!C:C,C28,'Publication Status Tracker NIE'!O:O,"Q2")</f>
        <v>4</v>
      </c>
      <c r="K28" s="290">
        <f t="shared" si="4"/>
        <v>44.44444444</v>
      </c>
      <c r="L28" s="284">
        <f>COUNTIFS('Publication Status Tracker NIE'!C:C,C28,'Publication Status Tracker NIE'!G:G,"Draft / Work in Progress")</f>
        <v>2</v>
      </c>
      <c r="M28" s="291">
        <f t="shared" si="5"/>
        <v>0</v>
      </c>
      <c r="N28" s="292" t="str">
        <f t="shared" si="6"/>
        <v>✓ On Target</v>
      </c>
    </row>
    <row r="29" ht="18.0" customHeight="1">
      <c r="C29" s="273" t="s">
        <v>133</v>
      </c>
      <c r="D29" s="293">
        <v>8.0</v>
      </c>
      <c r="E29" s="275">
        <f t="shared" si="1"/>
        <v>0</v>
      </c>
      <c r="F29" s="276">
        <f>COUNTIFS('Publication Status Tracker NIE'!C:C,C29,'Publication Status Tracker NIE'!G:G,"Published")</f>
        <v>34</v>
      </c>
      <c r="G29" s="277">
        <f>COUNTIFS('Publication Status Tracker NIE'!C:C,C29,'Publication Status Tracker NIE'!G:G,"Accepted")+COUNTIFS('Publication Status Tracker NIE'!C:C,C29,'Publication Status Tracker NIE'!G:G,"Under Review")+COUNTIFS('Publication Status Tracker NIE'!C:C,C29,'Publication Status Tracker NIE'!G:G,"Submitted")+COUNTIFS('Publication Status Tracker NIE'!C:C,C29,'Publication Status Tracker NIE'!G:G,"Revision Required")</f>
        <v>5</v>
      </c>
      <c r="H29" s="278">
        <f t="shared" si="2"/>
        <v>4.25</v>
      </c>
      <c r="I29" s="279">
        <f t="shared" si="3"/>
        <v>-34</v>
      </c>
      <c r="J29" s="277">
        <f>COUNTIFS('Publication Status Tracker NIE'!C:C,C29,'Publication Status Tracker NIE'!O:O,"Q1")+COUNTIFS('Publication Status Tracker NIE'!C:C,C29,'Publication Status Tracker NIE'!O:O,"Q2")</f>
        <v>36</v>
      </c>
      <c r="K29" s="280">
        <f t="shared" si="4"/>
        <v>105.8823529</v>
      </c>
      <c r="L29" s="274">
        <f>COUNTIFS('Publication Status Tracker NIE'!C:C,C29,'Publication Status Tracker NIE'!G:G,"Draft / Work in Progress")</f>
        <v>0</v>
      </c>
      <c r="M29" s="281">
        <f t="shared" si="5"/>
        <v>0</v>
      </c>
      <c r="N29" s="282" t="str">
        <f t="shared" si="6"/>
        <v>✓ On Target</v>
      </c>
    </row>
    <row r="30" ht="18.0" customHeight="1">
      <c r="C30" s="283" t="s">
        <v>387</v>
      </c>
      <c r="D30" s="284">
        <v>5.0</v>
      </c>
      <c r="E30" s="285">
        <f t="shared" si="1"/>
        <v>0</v>
      </c>
      <c r="F30" s="286">
        <f>COUNTIFS('Publication Status Tracker NIE'!C:C,C30,'Publication Status Tracker NIE'!G:G,"Published")</f>
        <v>16</v>
      </c>
      <c r="G30" s="287">
        <f>COUNTIFS('Publication Status Tracker NIE'!C:C,C30,'Publication Status Tracker NIE'!G:G,"Accepted")+COUNTIFS('Publication Status Tracker NIE'!C:C,C30,'Publication Status Tracker NIE'!G:G,"Under Review")+COUNTIFS('Publication Status Tracker NIE'!C:C,C30,'Publication Status Tracker NIE'!G:G,"Submitted")+COUNTIFS('Publication Status Tracker NIE'!C:C,C30,'Publication Status Tracker NIE'!G:G,"Revision Required")</f>
        <v>7</v>
      </c>
      <c r="H30" s="288">
        <f t="shared" si="2"/>
        <v>3.2</v>
      </c>
      <c r="I30" s="289">
        <f t="shared" si="3"/>
        <v>-16</v>
      </c>
      <c r="J30" s="287">
        <f>COUNTIFS('Publication Status Tracker NIE'!C:C,C30,'Publication Status Tracker NIE'!O:O,"Q1")+COUNTIFS('Publication Status Tracker NIE'!C:C,C30,'Publication Status Tracker NIE'!O:O,"Q2")</f>
        <v>19</v>
      </c>
      <c r="K30" s="290">
        <f t="shared" si="4"/>
        <v>118.75</v>
      </c>
      <c r="L30" s="284">
        <f>COUNTIFS('Publication Status Tracker NIE'!C:C,C30,'Publication Status Tracker NIE'!G:G,"Draft / Work in Progress")</f>
        <v>0</v>
      </c>
      <c r="M30" s="291">
        <f t="shared" si="5"/>
        <v>0</v>
      </c>
      <c r="N30" s="292" t="str">
        <f t="shared" si="6"/>
        <v>✓ On Target</v>
      </c>
    </row>
    <row r="31" ht="24.0" customHeight="1">
      <c r="C31" s="294" t="s">
        <v>1797</v>
      </c>
      <c r="D31" s="295">
        <f t="shared" ref="D31:G31" si="7">SUM(D21:D30)</f>
        <v>196</v>
      </c>
      <c r="E31" s="296">
        <f t="shared" si="7"/>
        <v>0</v>
      </c>
      <c r="F31" s="295">
        <f t="shared" si="7"/>
        <v>205</v>
      </c>
      <c r="G31" s="297">
        <f t="shared" si="7"/>
        <v>245</v>
      </c>
      <c r="H31" s="298">
        <f t="shared" si="2"/>
        <v>1.045918367</v>
      </c>
      <c r="I31" s="299">
        <f t="shared" si="3"/>
        <v>-205</v>
      </c>
      <c r="J31" s="297">
        <f>SUM(J21:J30)</f>
        <v>160</v>
      </c>
      <c r="K31" s="300">
        <f t="shared" si="4"/>
        <v>78.04878049</v>
      </c>
      <c r="L31" s="301">
        <f>SUM(L21:L30)</f>
        <v>35</v>
      </c>
      <c r="M31" s="302">
        <f t="shared" si="5"/>
        <v>0</v>
      </c>
      <c r="N31" s="303"/>
    </row>
    <row r="32" ht="21.75" customHeight="1">
      <c r="B32" s="271" t="s">
        <v>1798</v>
      </c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1"/>
    </row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7.5" customHeight="1"/>
    <row r="43" ht="36.0" customHeight="1">
      <c r="B43" s="222" t="s">
        <v>1799</v>
      </c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1"/>
    </row>
    <row r="44" ht="24.0" customHeight="1">
      <c r="C44" s="304" t="s">
        <v>5</v>
      </c>
      <c r="D44" s="305" t="s">
        <v>1800</v>
      </c>
      <c r="E44" s="304" t="s">
        <v>51</v>
      </c>
      <c r="F44" s="304" t="s">
        <v>81</v>
      </c>
      <c r="G44" s="304" t="s">
        <v>41</v>
      </c>
      <c r="H44" s="304" t="s">
        <v>58</v>
      </c>
      <c r="I44" s="304" t="s">
        <v>1793</v>
      </c>
      <c r="J44" s="304" t="s">
        <v>1794</v>
      </c>
      <c r="K44" s="305" t="s">
        <v>1801</v>
      </c>
      <c r="W44" s="306" t="s">
        <v>1761</v>
      </c>
      <c r="X44" s="306" t="s">
        <v>49</v>
      </c>
      <c r="Y44" s="306" t="s">
        <v>1789</v>
      </c>
      <c r="Z44" s="306" t="s">
        <v>1791</v>
      </c>
      <c r="AA44" s="306" t="s">
        <v>1789</v>
      </c>
    </row>
    <row r="45" ht="18.0" customHeight="1">
      <c r="C45" s="307" t="str">
        <f t="shared" ref="C45:C54" si="8">C21</f>
        <v>CSE</v>
      </c>
      <c r="D45" s="308">
        <f>F21+COUNTIFS('Publication Status Tracker NIE'!C:C,C45,'Publication Status Tracker NIE'!G:G,"Accepted")</f>
        <v>45</v>
      </c>
      <c r="E45" s="309">
        <f>COUNTIFS('Publication Status Tracker NIE'!C:C,C45,'Publication Status Tracker NIE'!O:O,"Q1")</f>
        <v>6</v>
      </c>
      <c r="F45" s="310">
        <f>COUNTIFS('Publication Status Tracker NIE'!C:C,C45,'Publication Status Tracker NIE'!O:O,"Q2")</f>
        <v>7</v>
      </c>
      <c r="G45" s="311">
        <f>COUNTIFS('Publication Status Tracker NIE'!C:C,C45,'Publication Status Tracker NIE'!O:O,"Q3")</f>
        <v>11</v>
      </c>
      <c r="H45" s="311">
        <f>COUNTIFS('Publication Status Tracker NIE'!C:C,C45,'Publication Status Tracker NIE'!O:O,"Q4")</f>
        <v>2</v>
      </c>
      <c r="I45" s="312">
        <f t="shared" ref="I45:I54" si="9">E45+F45</f>
        <v>13</v>
      </c>
      <c r="J45" s="313">
        <f t="shared" ref="J45:J54" si="10">IFERROR((E45+F45)/D45*100,0)</f>
        <v>28.88888889</v>
      </c>
      <c r="K45" s="314">
        <f>COUNTIFS('Publication Status Tracker NIE'!C:C,C45,'Publication Status Tracker NIE'!P:P,"Yes")</f>
        <v>14</v>
      </c>
      <c r="W45" s="315" t="str">
        <f t="shared" ref="W45:W54" si="11">C21</f>
        <v>CSE</v>
      </c>
      <c r="X45" s="315">
        <f t="shared" ref="X45:X54" si="12">F21</f>
        <v>26</v>
      </c>
      <c r="Y45" s="316">
        <f t="shared" ref="Y45:Y54" si="13">E21</f>
        <v>0</v>
      </c>
      <c r="Z45" s="317">
        <f t="shared" ref="Z45:Z54" si="14">H21</f>
        <v>0.6666666667</v>
      </c>
      <c r="AA45" s="315" t="str">
        <f t="shared" ref="AA45:AA54" si="15">$D$4</f>
        <v/>
      </c>
    </row>
    <row r="46" ht="18.0" customHeight="1">
      <c r="C46" s="283" t="str">
        <f t="shared" si="8"/>
        <v>ISE</v>
      </c>
      <c r="D46" s="284">
        <f>F22+COUNTIFS('Publication Status Tracker NIE'!C:C,C46,'Publication Status Tracker NIE'!G:G,"Accepted")</f>
        <v>47</v>
      </c>
      <c r="E46" s="318">
        <f>COUNTIFS('Publication Status Tracker NIE'!C:C,C46,'Publication Status Tracker NIE'!O:O,"Q1")</f>
        <v>6</v>
      </c>
      <c r="F46" s="319">
        <f>COUNTIFS('Publication Status Tracker NIE'!C:C,C46,'Publication Status Tracker NIE'!O:O,"Q2")</f>
        <v>10</v>
      </c>
      <c r="G46" s="320">
        <f>COUNTIFS('Publication Status Tracker NIE'!C:C,C46,'Publication Status Tracker NIE'!O:O,"Q3")</f>
        <v>20</v>
      </c>
      <c r="H46" s="320">
        <f>COUNTIFS('Publication Status Tracker NIE'!C:C,C46,'Publication Status Tracker NIE'!O:O,"Q4")</f>
        <v>7</v>
      </c>
      <c r="I46" s="321">
        <f t="shared" si="9"/>
        <v>16</v>
      </c>
      <c r="J46" s="290">
        <f t="shared" si="10"/>
        <v>34.04255319</v>
      </c>
      <c r="K46" s="287">
        <f>COUNTIFS('Publication Status Tracker NIE'!C:C,C46,'Publication Status Tracker NIE'!P:P,"Yes")</f>
        <v>10</v>
      </c>
      <c r="W46" s="315" t="str">
        <f t="shared" si="11"/>
        <v>ISE</v>
      </c>
      <c r="X46" s="315">
        <f t="shared" si="12"/>
        <v>30</v>
      </c>
      <c r="Y46" s="316">
        <f t="shared" si="13"/>
        <v>0</v>
      </c>
      <c r="Z46" s="317">
        <f t="shared" si="14"/>
        <v>1.034482759</v>
      </c>
      <c r="AA46" s="315" t="str">
        <f t="shared" si="15"/>
        <v/>
      </c>
    </row>
    <row r="47" ht="18.0" customHeight="1">
      <c r="C47" s="307" t="str">
        <f t="shared" si="8"/>
        <v>ECE</v>
      </c>
      <c r="D47" s="308">
        <f>F23+COUNTIFS('Publication Status Tracker NIE'!C:C,C47,'Publication Status Tracker NIE'!G:G,"Accepted")</f>
        <v>43</v>
      </c>
      <c r="E47" s="309">
        <f>COUNTIFS('Publication Status Tracker NIE'!C:C,C47,'Publication Status Tracker NIE'!O:O,"Q1")</f>
        <v>12</v>
      </c>
      <c r="F47" s="310">
        <f>COUNTIFS('Publication Status Tracker NIE'!C:C,C47,'Publication Status Tracker NIE'!O:O,"Q2")</f>
        <v>21</v>
      </c>
      <c r="G47" s="311">
        <f>COUNTIFS('Publication Status Tracker NIE'!C:C,C47,'Publication Status Tracker NIE'!O:O,"Q3")</f>
        <v>10</v>
      </c>
      <c r="H47" s="311">
        <f>COUNTIFS('Publication Status Tracker NIE'!C:C,C47,'Publication Status Tracker NIE'!O:O,"Q4")</f>
        <v>4</v>
      </c>
      <c r="I47" s="312">
        <f t="shared" si="9"/>
        <v>33</v>
      </c>
      <c r="J47" s="313">
        <f t="shared" si="10"/>
        <v>76.74418605</v>
      </c>
      <c r="K47" s="314">
        <f>COUNTIFS('Publication Status Tracker NIE'!C:C,C47,'Publication Status Tracker NIE'!P:P,"Yes")</f>
        <v>18</v>
      </c>
      <c r="W47" s="315" t="str">
        <f t="shared" si="11"/>
        <v>ECE</v>
      </c>
      <c r="X47" s="315">
        <f t="shared" si="12"/>
        <v>29</v>
      </c>
      <c r="Y47" s="316">
        <f t="shared" si="13"/>
        <v>0</v>
      </c>
      <c r="Z47" s="317">
        <f t="shared" si="14"/>
        <v>1.260869565</v>
      </c>
      <c r="AA47" s="315" t="str">
        <f t="shared" si="15"/>
        <v/>
      </c>
    </row>
    <row r="48" ht="18.0" customHeight="1">
      <c r="C48" s="283" t="str">
        <f t="shared" si="8"/>
        <v>MECH</v>
      </c>
      <c r="D48" s="284">
        <f>F24+COUNTIFS('Publication Status Tracker NIE'!C:C,C48,'Publication Status Tracker NIE'!G:G,"Accepted")</f>
        <v>42</v>
      </c>
      <c r="E48" s="318">
        <f>COUNTIFS('Publication Status Tracker NIE'!C:C,C48,'Publication Status Tracker NIE'!O:O,"Q1")</f>
        <v>7</v>
      </c>
      <c r="F48" s="319">
        <f>COUNTIFS('Publication Status Tracker NIE'!C:C,C48,'Publication Status Tracker NIE'!O:O,"Q2")</f>
        <v>10</v>
      </c>
      <c r="G48" s="320">
        <f>COUNTIFS('Publication Status Tracker NIE'!C:C,C48,'Publication Status Tracker NIE'!O:O,"Q3")</f>
        <v>13</v>
      </c>
      <c r="H48" s="320">
        <f>COUNTIFS('Publication Status Tracker NIE'!C:C,C48,'Publication Status Tracker NIE'!O:O,"Q4")</f>
        <v>20</v>
      </c>
      <c r="I48" s="321">
        <f t="shared" si="9"/>
        <v>17</v>
      </c>
      <c r="J48" s="290">
        <f t="shared" si="10"/>
        <v>40.47619048</v>
      </c>
      <c r="K48" s="287">
        <f>COUNTIFS('Publication Status Tracker NIE'!C:C,C48,'Publication Status Tracker NIE'!P:P,"Yes")</f>
        <v>16</v>
      </c>
      <c r="W48" s="315" t="str">
        <f t="shared" si="11"/>
        <v>MECH</v>
      </c>
      <c r="X48" s="315">
        <f t="shared" si="12"/>
        <v>21</v>
      </c>
      <c r="Y48" s="316">
        <f t="shared" si="13"/>
        <v>0</v>
      </c>
      <c r="Z48" s="317">
        <f t="shared" si="14"/>
        <v>0.6774193548</v>
      </c>
      <c r="AA48" s="315" t="str">
        <f t="shared" si="15"/>
        <v/>
      </c>
    </row>
    <row r="49" ht="18.0" customHeight="1">
      <c r="C49" s="307" t="str">
        <f t="shared" si="8"/>
        <v>CIVIL</v>
      </c>
      <c r="D49" s="308">
        <f>F25+COUNTIFS('Publication Status Tracker NIE'!C:C,C49,'Publication Status Tracker NIE'!G:G,"Accepted")</f>
        <v>31</v>
      </c>
      <c r="E49" s="309">
        <f>COUNTIFS('Publication Status Tracker NIE'!C:C,C49,'Publication Status Tracker NIE'!O:O,"Q1")</f>
        <v>6</v>
      </c>
      <c r="F49" s="310">
        <f>COUNTIFS('Publication Status Tracker NIE'!C:C,C49,'Publication Status Tracker NIE'!O:O,"Q2")</f>
        <v>12</v>
      </c>
      <c r="G49" s="311">
        <f>COUNTIFS('Publication Status Tracker NIE'!C:C,C49,'Publication Status Tracker NIE'!O:O,"Q3")</f>
        <v>21</v>
      </c>
      <c r="H49" s="311">
        <f>COUNTIFS('Publication Status Tracker NIE'!C:C,C49,'Publication Status Tracker NIE'!O:O,"Q4")</f>
        <v>1</v>
      </c>
      <c r="I49" s="312">
        <f t="shared" si="9"/>
        <v>18</v>
      </c>
      <c r="J49" s="313">
        <f t="shared" si="10"/>
        <v>58.06451613</v>
      </c>
      <c r="K49" s="314">
        <f>COUNTIFS('Publication Status Tracker NIE'!C:C,C49,'Publication Status Tracker NIE'!P:P,"Yes")</f>
        <v>17</v>
      </c>
      <c r="W49" s="315" t="str">
        <f t="shared" si="11"/>
        <v>CIVIL</v>
      </c>
      <c r="X49" s="315">
        <f t="shared" si="12"/>
        <v>12</v>
      </c>
      <c r="Y49" s="316">
        <f t="shared" si="13"/>
        <v>0</v>
      </c>
      <c r="Z49" s="317">
        <f t="shared" si="14"/>
        <v>0.5454545455</v>
      </c>
      <c r="AA49" s="315" t="str">
        <f t="shared" si="15"/>
        <v/>
      </c>
    </row>
    <row r="50" ht="18.0" customHeight="1">
      <c r="C50" s="283" t="str">
        <f t="shared" si="8"/>
        <v>EEE</v>
      </c>
      <c r="D50" s="284">
        <f>F26+COUNTIFS('Publication Status Tracker NIE'!C:C,C50,'Publication Status Tracker NIE'!G:G,"Accepted")</f>
        <v>21</v>
      </c>
      <c r="E50" s="318">
        <f>COUNTIFS('Publication Status Tracker NIE'!C:C,C50,'Publication Status Tracker NIE'!O:O,"Q1")</f>
        <v>1</v>
      </c>
      <c r="F50" s="319">
        <f>COUNTIFS('Publication Status Tracker NIE'!C:C,C50,'Publication Status Tracker NIE'!O:O,"Q2")</f>
        <v>3</v>
      </c>
      <c r="G50" s="320">
        <f>COUNTIFS('Publication Status Tracker NIE'!C:C,C50,'Publication Status Tracker NIE'!O:O,"Q3")</f>
        <v>4</v>
      </c>
      <c r="H50" s="320">
        <f>COUNTIFS('Publication Status Tracker NIE'!C:C,C50,'Publication Status Tracker NIE'!O:O,"Q4")</f>
        <v>7</v>
      </c>
      <c r="I50" s="321">
        <f t="shared" si="9"/>
        <v>4</v>
      </c>
      <c r="J50" s="290">
        <f t="shared" si="10"/>
        <v>19.04761905</v>
      </c>
      <c r="K50" s="287">
        <f>COUNTIFS('Publication Status Tracker NIE'!C:C,C50,'Publication Status Tracker NIE'!P:P,"Yes")</f>
        <v>9</v>
      </c>
      <c r="W50" s="315" t="str">
        <f t="shared" si="11"/>
        <v>EEE</v>
      </c>
      <c r="X50" s="315">
        <f t="shared" si="12"/>
        <v>9</v>
      </c>
      <c r="Y50" s="316">
        <f t="shared" si="13"/>
        <v>0</v>
      </c>
      <c r="Z50" s="317">
        <f t="shared" si="14"/>
        <v>0.6</v>
      </c>
      <c r="AA50" s="315" t="str">
        <f t="shared" si="15"/>
        <v/>
      </c>
    </row>
    <row r="51" ht="18.0" customHeight="1">
      <c r="C51" s="307" t="str">
        <f t="shared" si="8"/>
        <v>MCA</v>
      </c>
      <c r="D51" s="308">
        <f>F27+COUNTIFS('Publication Status Tracker NIE'!C:C,C51,'Publication Status Tracker NIE'!G:G,"Accepted")</f>
        <v>20</v>
      </c>
      <c r="E51" s="309">
        <f>COUNTIFS('Publication Status Tracker NIE'!C:C,C51,'Publication Status Tracker NIE'!O:O,"Q1")</f>
        <v>0</v>
      </c>
      <c r="F51" s="310">
        <f>COUNTIFS('Publication Status Tracker NIE'!C:C,C51,'Publication Status Tracker NIE'!O:O,"Q2")</f>
        <v>0</v>
      </c>
      <c r="G51" s="311">
        <f>COUNTIFS('Publication Status Tracker NIE'!C:C,C51,'Publication Status Tracker NIE'!O:O,"Q3")</f>
        <v>0</v>
      </c>
      <c r="H51" s="311">
        <f>COUNTIFS('Publication Status Tracker NIE'!C:C,C51,'Publication Status Tracker NIE'!O:O,"Q4")</f>
        <v>2</v>
      </c>
      <c r="I51" s="312">
        <f t="shared" si="9"/>
        <v>0</v>
      </c>
      <c r="J51" s="313">
        <f t="shared" si="10"/>
        <v>0</v>
      </c>
      <c r="K51" s="314">
        <f>COUNTIFS('Publication Status Tracker NIE'!C:C,C51,'Publication Status Tracker NIE'!P:P,"Yes")</f>
        <v>0</v>
      </c>
      <c r="W51" s="315" t="str">
        <f t="shared" si="11"/>
        <v>MCA</v>
      </c>
      <c r="X51" s="315">
        <f t="shared" si="12"/>
        <v>19</v>
      </c>
      <c r="Y51" s="316">
        <f t="shared" si="13"/>
        <v>0</v>
      </c>
      <c r="Z51" s="317">
        <f t="shared" si="14"/>
        <v>1.583333333</v>
      </c>
      <c r="AA51" s="315" t="str">
        <f t="shared" si="15"/>
        <v/>
      </c>
    </row>
    <row r="52" ht="15.75" customHeight="1">
      <c r="C52" s="283" t="str">
        <f t="shared" si="8"/>
        <v>MATHS</v>
      </c>
      <c r="D52" s="284">
        <f>F28+COUNTIFS('Publication Status Tracker NIE'!C:C,C52,'Publication Status Tracker NIE'!G:G,"Accepted")</f>
        <v>15</v>
      </c>
      <c r="E52" s="318">
        <f>COUNTIFS('Publication Status Tracker NIE'!C:C,C52,'Publication Status Tracker NIE'!O:O,"Q1")</f>
        <v>1</v>
      </c>
      <c r="F52" s="319">
        <f>COUNTIFS('Publication Status Tracker NIE'!C:C,C52,'Publication Status Tracker NIE'!O:O,"Q2")</f>
        <v>3</v>
      </c>
      <c r="G52" s="320">
        <f>COUNTIFS('Publication Status Tracker NIE'!C:C,C52,'Publication Status Tracker NIE'!O:O,"Q3")</f>
        <v>14</v>
      </c>
      <c r="H52" s="320">
        <f>COUNTIFS('Publication Status Tracker NIE'!C:C,C52,'Publication Status Tracker NIE'!O:O,"Q4")</f>
        <v>3</v>
      </c>
      <c r="I52" s="321">
        <f t="shared" si="9"/>
        <v>4</v>
      </c>
      <c r="J52" s="290">
        <f t="shared" si="10"/>
        <v>26.66666667</v>
      </c>
      <c r="K52" s="287">
        <f>COUNTIFS('Publication Status Tracker NIE'!C:C,C52,'Publication Status Tracker NIE'!P:P,"Yes")</f>
        <v>8</v>
      </c>
      <c r="W52" s="315" t="str">
        <f t="shared" si="11"/>
        <v>MATHS</v>
      </c>
      <c r="X52" s="315">
        <f t="shared" si="12"/>
        <v>9</v>
      </c>
      <c r="Y52" s="316">
        <f t="shared" si="13"/>
        <v>0</v>
      </c>
      <c r="Z52" s="317">
        <f t="shared" si="14"/>
        <v>0.75</v>
      </c>
      <c r="AA52" s="315" t="str">
        <f t="shared" si="15"/>
        <v/>
      </c>
    </row>
    <row r="53" ht="15.75" customHeight="1">
      <c r="C53" s="307" t="str">
        <f t="shared" si="8"/>
        <v>PHY</v>
      </c>
      <c r="D53" s="308">
        <f>F29+COUNTIFS('Publication Status Tracker NIE'!C:C,C53,'Publication Status Tracker NIE'!G:G,"Accepted")</f>
        <v>35</v>
      </c>
      <c r="E53" s="309">
        <f>COUNTIFS('Publication Status Tracker NIE'!C:C,C53,'Publication Status Tracker NIE'!O:O,"Q1")</f>
        <v>7</v>
      </c>
      <c r="F53" s="310">
        <f>COUNTIFS('Publication Status Tracker NIE'!C:C,C53,'Publication Status Tracker NIE'!O:O,"Q2")</f>
        <v>29</v>
      </c>
      <c r="G53" s="311">
        <f>COUNTIFS('Publication Status Tracker NIE'!C:C,C53,'Publication Status Tracker NIE'!O:O,"Q3")</f>
        <v>1</v>
      </c>
      <c r="H53" s="311">
        <f>COUNTIFS('Publication Status Tracker NIE'!C:C,C53,'Publication Status Tracker NIE'!O:O,"Q4")</f>
        <v>2</v>
      </c>
      <c r="I53" s="312">
        <f t="shared" si="9"/>
        <v>36</v>
      </c>
      <c r="J53" s="313">
        <f t="shared" si="10"/>
        <v>102.8571429</v>
      </c>
      <c r="K53" s="314">
        <f>COUNTIFS('Publication Status Tracker NIE'!C:C,C53,'Publication Status Tracker NIE'!P:P,"Yes")</f>
        <v>35</v>
      </c>
      <c r="W53" s="315" t="str">
        <f t="shared" si="11"/>
        <v>PHY</v>
      </c>
      <c r="X53" s="315">
        <f t="shared" si="12"/>
        <v>34</v>
      </c>
      <c r="Y53" s="316">
        <f t="shared" si="13"/>
        <v>0</v>
      </c>
      <c r="Z53" s="317">
        <f t="shared" si="14"/>
        <v>4.25</v>
      </c>
      <c r="AA53" s="315" t="str">
        <f t="shared" si="15"/>
        <v/>
      </c>
    </row>
    <row r="54" ht="15.75" customHeight="1">
      <c r="C54" s="283" t="str">
        <f t="shared" si="8"/>
        <v>CHEM</v>
      </c>
      <c r="D54" s="284">
        <f>F30+COUNTIFS('Publication Status Tracker NIE'!C:C,C54,'Publication Status Tracker NIE'!G:G,"Accepted")</f>
        <v>19</v>
      </c>
      <c r="E54" s="318">
        <f>COUNTIFS('Publication Status Tracker NIE'!C:C,C54,'Publication Status Tracker NIE'!O:O,"Q1")</f>
        <v>16</v>
      </c>
      <c r="F54" s="319">
        <f>COUNTIFS('Publication Status Tracker NIE'!C:C,C54,'Publication Status Tracker NIE'!O:O,"Q2")</f>
        <v>3</v>
      </c>
      <c r="G54" s="320">
        <f>COUNTIFS('Publication Status Tracker NIE'!C:C,C54,'Publication Status Tracker NIE'!O:O,"Q3")</f>
        <v>1</v>
      </c>
      <c r="H54" s="320">
        <f>COUNTIFS('Publication Status Tracker NIE'!C:C,C54,'Publication Status Tracker NIE'!O:O,"Q4")</f>
        <v>1</v>
      </c>
      <c r="I54" s="321">
        <f t="shared" si="9"/>
        <v>19</v>
      </c>
      <c r="J54" s="290">
        <f t="shared" si="10"/>
        <v>100</v>
      </c>
      <c r="K54" s="287">
        <f>COUNTIFS('Publication Status Tracker NIE'!C:C,C54,'Publication Status Tracker NIE'!P:P,"Yes")</f>
        <v>15</v>
      </c>
      <c r="W54" s="315" t="str">
        <f t="shared" si="11"/>
        <v>CHEM</v>
      </c>
      <c r="X54" s="315">
        <f t="shared" si="12"/>
        <v>16</v>
      </c>
      <c r="Y54" s="316">
        <f t="shared" si="13"/>
        <v>0</v>
      </c>
      <c r="Z54" s="317">
        <f t="shared" si="14"/>
        <v>3.2</v>
      </c>
      <c r="AA54" s="315" t="str">
        <f t="shared" si="15"/>
        <v/>
      </c>
    </row>
    <row r="55" ht="21.75" customHeight="1">
      <c r="C55" s="294" t="s">
        <v>1785</v>
      </c>
      <c r="D55" s="295">
        <f t="shared" ref="D55:I55" si="16">SUM(D45:D54)</f>
        <v>318</v>
      </c>
      <c r="E55" s="295">
        <f t="shared" si="16"/>
        <v>62</v>
      </c>
      <c r="F55" s="295">
        <f t="shared" si="16"/>
        <v>98</v>
      </c>
      <c r="G55" s="295">
        <f t="shared" si="16"/>
        <v>95</v>
      </c>
      <c r="H55" s="295">
        <f t="shared" si="16"/>
        <v>49</v>
      </c>
      <c r="I55" s="295">
        <f t="shared" si="16"/>
        <v>160</v>
      </c>
      <c r="J55" s="300">
        <f>IFERROR(I55/D55*100,0)</f>
        <v>50.31446541</v>
      </c>
      <c r="K55" s="295">
        <f>SUM(K45:K54)</f>
        <v>142</v>
      </c>
    </row>
    <row r="56" ht="15.75" customHeight="1"/>
    <row r="57" ht="7.5" customHeight="1"/>
    <row r="58" ht="18.0" customHeight="1">
      <c r="B58" s="322" t="s">
        <v>1802</v>
      </c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R4:U4"/>
    <mergeCell ref="R5:U5"/>
    <mergeCell ref="R9:U9"/>
    <mergeCell ref="L6:O6"/>
    <mergeCell ref="R6:U6"/>
    <mergeCell ref="B2:U2"/>
    <mergeCell ref="B4:C4"/>
    <mergeCell ref="H4:K4"/>
    <mergeCell ref="L4:O4"/>
    <mergeCell ref="B5:E5"/>
    <mergeCell ref="L5:O5"/>
    <mergeCell ref="B6:E6"/>
    <mergeCell ref="B43:U43"/>
    <mergeCell ref="B58:U58"/>
    <mergeCell ref="H5:K5"/>
    <mergeCell ref="H6:K6"/>
    <mergeCell ref="B9:E9"/>
    <mergeCell ref="H9:K9"/>
    <mergeCell ref="M9:P9"/>
    <mergeCell ref="B19:U19"/>
    <mergeCell ref="B32:U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7" width="15.0"/>
    <col customWidth="1" min="8" max="26" width="8.71"/>
  </cols>
  <sheetData>
    <row r="1">
      <c r="B1" s="73"/>
      <c r="C1" s="73"/>
      <c r="D1" s="73"/>
      <c r="E1" s="73"/>
      <c r="F1" s="73"/>
      <c r="G1" s="73"/>
    </row>
    <row r="2" ht="15.0" customHeight="1">
      <c r="B2" s="10" t="s">
        <v>5</v>
      </c>
      <c r="C2" s="10" t="s">
        <v>1803</v>
      </c>
      <c r="D2" s="10" t="s">
        <v>1804</v>
      </c>
      <c r="E2" s="10" t="s">
        <v>1805</v>
      </c>
      <c r="F2" s="10" t="s">
        <v>1806</v>
      </c>
      <c r="G2" s="10" t="s">
        <v>1807</v>
      </c>
    </row>
    <row r="3" ht="15.0" customHeight="1">
      <c r="B3" s="323" t="s">
        <v>408</v>
      </c>
      <c r="C3" s="323">
        <v>5.0</v>
      </c>
      <c r="D3" s="323">
        <v>4.0</v>
      </c>
      <c r="E3" s="323">
        <v>30.0</v>
      </c>
      <c r="F3" s="323">
        <v>0.0</v>
      </c>
      <c r="G3" s="323">
        <f t="shared" ref="G3:G12" si="1">SUM(C3:F3)</f>
        <v>39</v>
      </c>
    </row>
    <row r="4" ht="15.0" customHeight="1">
      <c r="B4" s="324" t="s">
        <v>416</v>
      </c>
      <c r="C4" s="324">
        <v>5.0</v>
      </c>
      <c r="D4" s="324">
        <v>6.0</v>
      </c>
      <c r="E4" s="324">
        <v>18.0</v>
      </c>
      <c r="F4" s="324">
        <v>0.0</v>
      </c>
      <c r="G4" s="324">
        <f t="shared" si="1"/>
        <v>29</v>
      </c>
    </row>
    <row r="5" ht="15.0" customHeight="1">
      <c r="B5" s="323" t="s">
        <v>34</v>
      </c>
      <c r="C5" s="323">
        <v>3.0</v>
      </c>
      <c r="D5" s="323">
        <v>3.0</v>
      </c>
      <c r="E5" s="323">
        <v>23.0</v>
      </c>
      <c r="F5" s="323">
        <v>2.0</v>
      </c>
      <c r="G5" s="323">
        <f t="shared" si="1"/>
        <v>31</v>
      </c>
    </row>
    <row r="6" ht="15.0" customHeight="1">
      <c r="B6" s="324" t="s">
        <v>84</v>
      </c>
      <c r="C6" s="324">
        <v>0.0</v>
      </c>
      <c r="D6" s="324">
        <v>7.0</v>
      </c>
      <c r="E6" s="324">
        <v>12.0</v>
      </c>
      <c r="F6" s="324">
        <v>4.0</v>
      </c>
      <c r="G6" s="324">
        <f t="shared" si="1"/>
        <v>23</v>
      </c>
    </row>
    <row r="7" ht="15.0" customHeight="1">
      <c r="B7" s="323" t="s">
        <v>186</v>
      </c>
      <c r="C7" s="325">
        <v>2.0</v>
      </c>
      <c r="D7" s="325">
        <v>3.0</v>
      </c>
      <c r="E7" s="325">
        <v>9.0</v>
      </c>
      <c r="F7" s="325">
        <v>7.0</v>
      </c>
      <c r="G7" s="323">
        <f t="shared" si="1"/>
        <v>21</v>
      </c>
    </row>
    <row r="8" ht="15.0" customHeight="1">
      <c r="B8" s="324" t="s">
        <v>199</v>
      </c>
      <c r="C8" s="326">
        <v>2.0</v>
      </c>
      <c r="D8" s="324">
        <v>4.0</v>
      </c>
      <c r="E8" s="326">
        <v>5.0</v>
      </c>
      <c r="F8" s="326">
        <v>10.0</v>
      </c>
      <c r="G8" s="324">
        <f t="shared" si="1"/>
        <v>21</v>
      </c>
    </row>
    <row r="9" ht="15.0" customHeight="1">
      <c r="B9" s="323" t="s">
        <v>629</v>
      </c>
      <c r="C9" s="323">
        <v>1.0</v>
      </c>
      <c r="D9" s="323">
        <v>2.0</v>
      </c>
      <c r="E9" s="323">
        <v>1.0</v>
      </c>
      <c r="F9" s="325">
        <v>6.0</v>
      </c>
      <c r="G9" s="323">
        <f t="shared" si="1"/>
        <v>10</v>
      </c>
    </row>
    <row r="10" ht="15.0" customHeight="1">
      <c r="B10" s="324" t="s">
        <v>218</v>
      </c>
      <c r="C10" s="324">
        <v>1.0</v>
      </c>
      <c r="D10" s="324">
        <v>3.0</v>
      </c>
      <c r="E10" s="324">
        <v>3.0</v>
      </c>
      <c r="F10" s="324">
        <v>5.0</v>
      </c>
      <c r="G10" s="324">
        <f t="shared" si="1"/>
        <v>12</v>
      </c>
    </row>
    <row r="11" ht="15.0" customHeight="1">
      <c r="B11" s="323" t="s">
        <v>133</v>
      </c>
      <c r="C11" s="323">
        <v>1.0</v>
      </c>
      <c r="D11" s="323">
        <v>2.0</v>
      </c>
      <c r="E11" s="325">
        <v>2.0</v>
      </c>
      <c r="F11" s="323">
        <v>3.0</v>
      </c>
      <c r="G11" s="323">
        <f t="shared" si="1"/>
        <v>8</v>
      </c>
    </row>
    <row r="12" ht="15.0" customHeight="1">
      <c r="B12" s="324" t="s">
        <v>387</v>
      </c>
      <c r="C12" s="324">
        <v>0.0</v>
      </c>
      <c r="D12" s="326">
        <v>2.0</v>
      </c>
      <c r="E12" s="326">
        <v>3.0</v>
      </c>
      <c r="F12" s="326">
        <v>4.0</v>
      </c>
      <c r="G12" s="324">
        <f t="shared" si="1"/>
        <v>9</v>
      </c>
    </row>
    <row r="13" ht="15.0" customHeight="1">
      <c r="B13" s="327" t="s">
        <v>1785</v>
      </c>
      <c r="C13" s="327">
        <f t="shared" ref="C13:G13" si="2">SUM(C3:C12)</f>
        <v>20</v>
      </c>
      <c r="D13" s="327">
        <f t="shared" si="2"/>
        <v>36</v>
      </c>
      <c r="E13" s="327">
        <f t="shared" si="2"/>
        <v>106</v>
      </c>
      <c r="F13" s="327">
        <f t="shared" si="2"/>
        <v>41</v>
      </c>
      <c r="G13" s="327">
        <f t="shared" si="2"/>
        <v>203</v>
      </c>
    </row>
    <row r="14">
      <c r="B14" s="73"/>
      <c r="C14" s="73"/>
      <c r="D14" s="73"/>
      <c r="E14" s="73"/>
      <c r="F14" s="73"/>
      <c r="G14" s="73"/>
    </row>
    <row r="15">
      <c r="B15" s="73"/>
      <c r="C15" s="73"/>
      <c r="D15" s="73"/>
      <c r="E15" s="73"/>
      <c r="F15" s="73"/>
      <c r="G15" s="73"/>
    </row>
    <row r="16">
      <c r="B16" s="73"/>
      <c r="C16" s="73"/>
      <c r="D16" s="73"/>
      <c r="E16" s="73"/>
      <c r="F16" s="73"/>
      <c r="G16" s="73"/>
    </row>
    <row r="17">
      <c r="B17" s="73"/>
      <c r="C17" s="73"/>
      <c r="D17" s="73"/>
      <c r="E17" s="73"/>
      <c r="F17" s="73"/>
      <c r="G17" s="73"/>
    </row>
    <row r="18">
      <c r="B18" s="73"/>
      <c r="C18" s="73"/>
      <c r="D18" s="73"/>
      <c r="E18" s="73"/>
      <c r="F18" s="73"/>
      <c r="G18" s="73"/>
    </row>
    <row r="19">
      <c r="B19" s="73"/>
      <c r="C19" s="73"/>
      <c r="D19" s="73"/>
      <c r="E19" s="73"/>
      <c r="F19" s="73"/>
      <c r="G19" s="73"/>
    </row>
    <row r="20">
      <c r="B20" s="73"/>
      <c r="C20" s="73"/>
      <c r="D20" s="73"/>
      <c r="E20" s="73"/>
      <c r="F20" s="73"/>
      <c r="G20" s="73"/>
    </row>
    <row r="21" ht="15.75" customHeight="1">
      <c r="B21" s="73"/>
      <c r="C21" s="73"/>
      <c r="D21" s="73"/>
      <c r="E21" s="73"/>
      <c r="F21" s="73"/>
      <c r="G21" s="73"/>
    </row>
    <row r="22" ht="15.75" customHeight="1">
      <c r="B22" s="73"/>
      <c r="C22" s="73"/>
      <c r="D22" s="73"/>
      <c r="E22" s="73"/>
      <c r="F22" s="73"/>
      <c r="G22" s="73"/>
    </row>
    <row r="23" ht="15.75" customHeight="1">
      <c r="B23" s="73"/>
      <c r="C23" s="73"/>
      <c r="D23" s="73"/>
      <c r="E23" s="73"/>
      <c r="F23" s="73"/>
      <c r="G23" s="73"/>
    </row>
    <row r="24" ht="15.75" customHeight="1">
      <c r="B24" s="73"/>
      <c r="C24" s="73"/>
      <c r="D24" s="73"/>
      <c r="E24" s="73"/>
      <c r="F24" s="73"/>
      <c r="G24" s="73"/>
    </row>
    <row r="25" ht="15.75" customHeight="1">
      <c r="B25" s="73"/>
      <c r="C25" s="73"/>
      <c r="D25" s="73"/>
      <c r="E25" s="73"/>
      <c r="F25" s="73"/>
      <c r="G25" s="73"/>
    </row>
    <row r="26" ht="15.75" customHeight="1">
      <c r="B26" s="73"/>
      <c r="C26" s="73"/>
      <c r="D26" s="73"/>
      <c r="E26" s="73"/>
      <c r="F26" s="73"/>
      <c r="G26" s="73"/>
    </row>
    <row r="27" ht="15.75" customHeight="1">
      <c r="B27" s="73"/>
      <c r="C27" s="73"/>
      <c r="D27" s="73"/>
      <c r="E27" s="73"/>
      <c r="F27" s="73"/>
      <c r="G27" s="73"/>
    </row>
    <row r="28" ht="15.75" customHeight="1">
      <c r="B28" s="73"/>
      <c r="C28" s="73"/>
      <c r="D28" s="73"/>
      <c r="E28" s="73"/>
      <c r="F28" s="73"/>
      <c r="G28" s="73"/>
    </row>
    <row r="29" ht="15.75" customHeight="1">
      <c r="B29" s="73"/>
      <c r="C29" s="73"/>
      <c r="D29" s="73"/>
      <c r="E29" s="73"/>
      <c r="F29" s="73"/>
      <c r="G29" s="73"/>
    </row>
    <row r="30" ht="15.75" customHeight="1">
      <c r="B30" s="73"/>
      <c r="C30" s="73"/>
      <c r="D30" s="73"/>
      <c r="E30" s="73"/>
      <c r="F30" s="73"/>
      <c r="G30" s="73"/>
    </row>
    <row r="31" ht="15.75" customHeight="1">
      <c r="B31" s="73"/>
      <c r="C31" s="73"/>
      <c r="D31" s="73"/>
      <c r="E31" s="73"/>
      <c r="F31" s="73"/>
      <c r="G31" s="73"/>
    </row>
    <row r="32" ht="15.75" customHeight="1">
      <c r="B32" s="73"/>
      <c r="C32" s="73"/>
      <c r="D32" s="73"/>
      <c r="E32" s="73"/>
      <c r="F32" s="73"/>
      <c r="G32" s="73"/>
    </row>
    <row r="33" ht="15.75" customHeight="1">
      <c r="B33" s="73"/>
      <c r="C33" s="73"/>
      <c r="D33" s="73"/>
      <c r="E33" s="73"/>
      <c r="F33" s="73"/>
      <c r="G33" s="73"/>
    </row>
    <row r="34" ht="15.75" customHeight="1">
      <c r="B34" s="73"/>
      <c r="C34" s="73"/>
      <c r="D34" s="73"/>
      <c r="E34" s="73"/>
      <c r="F34" s="73"/>
      <c r="G34" s="73"/>
    </row>
    <row r="35" ht="15.75" customHeight="1">
      <c r="B35" s="73"/>
      <c r="C35" s="73"/>
      <c r="D35" s="73"/>
      <c r="E35" s="73"/>
      <c r="F35" s="73"/>
      <c r="G35" s="73"/>
    </row>
    <row r="36" ht="15.75" customHeight="1">
      <c r="B36" s="73"/>
      <c r="C36" s="73"/>
      <c r="D36" s="73"/>
      <c r="E36" s="73"/>
      <c r="F36" s="73"/>
      <c r="G36" s="73"/>
    </row>
    <row r="37" ht="15.75" customHeight="1">
      <c r="B37" s="73"/>
      <c r="C37" s="73"/>
      <c r="D37" s="73"/>
      <c r="E37" s="73"/>
      <c r="F37" s="73"/>
      <c r="G37" s="73"/>
    </row>
    <row r="38" ht="15.75" customHeight="1">
      <c r="B38" s="73"/>
      <c r="C38" s="73"/>
      <c r="D38" s="73"/>
      <c r="E38" s="73"/>
      <c r="F38" s="73"/>
      <c r="G38" s="73"/>
    </row>
    <row r="39" ht="15.75" customHeight="1">
      <c r="B39" s="73"/>
      <c r="C39" s="73"/>
      <c r="D39" s="73"/>
      <c r="E39" s="73"/>
      <c r="F39" s="73"/>
      <c r="G39" s="73"/>
    </row>
    <row r="40" ht="15.75" customHeight="1">
      <c r="B40" s="73"/>
      <c r="C40" s="73"/>
      <c r="D40" s="73"/>
      <c r="E40" s="73"/>
      <c r="F40" s="73"/>
      <c r="G40" s="73"/>
    </row>
    <row r="41" ht="15.75" customHeight="1">
      <c r="B41" s="73"/>
      <c r="C41" s="73"/>
      <c r="D41" s="73"/>
      <c r="E41" s="73"/>
      <c r="F41" s="73"/>
      <c r="G41" s="73"/>
    </row>
    <row r="42" ht="15.75" customHeight="1">
      <c r="B42" s="73"/>
      <c r="C42" s="73"/>
      <c r="D42" s="73"/>
      <c r="E42" s="73"/>
      <c r="F42" s="73"/>
      <c r="G42" s="73"/>
    </row>
    <row r="43" ht="15.75" customHeight="1">
      <c r="B43" s="73"/>
      <c r="C43" s="73"/>
      <c r="D43" s="73"/>
      <c r="E43" s="73"/>
      <c r="F43" s="73"/>
      <c r="G43" s="73"/>
    </row>
    <row r="44" ht="15.75" customHeight="1">
      <c r="B44" s="73"/>
      <c r="C44" s="73"/>
      <c r="D44" s="73"/>
      <c r="E44" s="73"/>
      <c r="F44" s="73"/>
      <c r="G44" s="73"/>
    </row>
    <row r="45" ht="15.75" customHeight="1">
      <c r="B45" s="73"/>
      <c r="C45" s="73"/>
      <c r="D45" s="73"/>
      <c r="E45" s="73"/>
      <c r="F45" s="73"/>
      <c r="G45" s="73"/>
    </row>
    <row r="46" ht="15.75" customHeight="1">
      <c r="B46" s="73"/>
      <c r="C46" s="73"/>
      <c r="D46" s="73"/>
      <c r="E46" s="73"/>
      <c r="F46" s="73"/>
      <c r="G46" s="73"/>
    </row>
    <row r="47" ht="15.75" customHeight="1">
      <c r="B47" s="73"/>
      <c r="C47" s="73"/>
      <c r="D47" s="73"/>
      <c r="E47" s="73"/>
      <c r="F47" s="73"/>
      <c r="G47" s="73"/>
    </row>
    <row r="48" ht="15.75" customHeight="1">
      <c r="B48" s="73"/>
      <c r="C48" s="73"/>
      <c r="D48" s="73"/>
      <c r="E48" s="73"/>
      <c r="F48" s="73"/>
      <c r="G48" s="73"/>
    </row>
    <row r="49" ht="15.75" customHeight="1">
      <c r="B49" s="73"/>
      <c r="C49" s="73"/>
      <c r="D49" s="73"/>
      <c r="E49" s="73"/>
      <c r="F49" s="73"/>
      <c r="G49" s="73"/>
    </row>
    <row r="50" ht="15.75" customHeight="1">
      <c r="B50" s="73"/>
      <c r="C50" s="73"/>
      <c r="D50" s="73"/>
      <c r="E50" s="73"/>
      <c r="F50" s="73"/>
      <c r="G50" s="73"/>
    </row>
    <row r="51" ht="15.75" customHeight="1">
      <c r="B51" s="73"/>
      <c r="C51" s="73"/>
      <c r="D51" s="73"/>
      <c r="E51" s="73"/>
      <c r="F51" s="73"/>
      <c r="G51" s="73"/>
    </row>
    <row r="52" ht="15.75" customHeight="1">
      <c r="B52" s="73"/>
      <c r="C52" s="73"/>
      <c r="D52" s="73"/>
      <c r="E52" s="73"/>
      <c r="F52" s="73"/>
      <c r="G52" s="73"/>
    </row>
    <row r="53" ht="15.75" customHeight="1">
      <c r="B53" s="73"/>
      <c r="C53" s="73"/>
      <c r="D53" s="73"/>
      <c r="E53" s="73"/>
      <c r="F53" s="73"/>
      <c r="G53" s="73"/>
    </row>
    <row r="54" ht="15.75" customHeight="1">
      <c r="B54" s="73"/>
      <c r="C54" s="73"/>
      <c r="D54" s="73"/>
      <c r="E54" s="73"/>
      <c r="F54" s="73"/>
      <c r="G54" s="73"/>
    </row>
    <row r="55" ht="15.75" customHeight="1">
      <c r="B55" s="73"/>
      <c r="C55" s="73"/>
      <c r="D55" s="73"/>
      <c r="E55" s="73"/>
      <c r="F55" s="73"/>
      <c r="G55" s="73"/>
    </row>
    <row r="56" ht="15.75" customHeight="1">
      <c r="B56" s="73"/>
      <c r="C56" s="73"/>
      <c r="D56" s="73"/>
      <c r="E56" s="73"/>
      <c r="F56" s="73"/>
      <c r="G56" s="73"/>
    </row>
    <row r="57" ht="15.75" customHeight="1">
      <c r="B57" s="73"/>
      <c r="C57" s="73"/>
      <c r="D57" s="73"/>
      <c r="E57" s="73"/>
      <c r="F57" s="73"/>
      <c r="G57" s="73"/>
    </row>
    <row r="58" ht="15.75" customHeight="1">
      <c r="B58" s="73"/>
      <c r="C58" s="73"/>
      <c r="D58" s="73"/>
      <c r="E58" s="73"/>
      <c r="F58" s="73"/>
      <c r="G58" s="73"/>
    </row>
    <row r="59" ht="15.75" customHeight="1">
      <c r="B59" s="73"/>
      <c r="C59" s="73"/>
      <c r="D59" s="73"/>
      <c r="E59" s="73"/>
      <c r="F59" s="73"/>
      <c r="G59" s="73"/>
    </row>
    <row r="60" ht="15.75" customHeight="1">
      <c r="B60" s="73"/>
      <c r="C60" s="73"/>
      <c r="D60" s="73"/>
      <c r="E60" s="73"/>
      <c r="F60" s="73"/>
      <c r="G60" s="73"/>
    </row>
    <row r="61" ht="15.75" customHeight="1">
      <c r="B61" s="73"/>
      <c r="C61" s="73"/>
      <c r="D61" s="73"/>
      <c r="E61" s="73"/>
      <c r="F61" s="73"/>
      <c r="G61" s="73"/>
    </row>
    <row r="62" ht="15.75" customHeight="1">
      <c r="B62" s="73"/>
      <c r="C62" s="73"/>
      <c r="D62" s="73"/>
      <c r="E62" s="73"/>
      <c r="F62" s="73"/>
      <c r="G62" s="73"/>
    </row>
    <row r="63" ht="15.75" customHeight="1">
      <c r="B63" s="73"/>
      <c r="C63" s="73"/>
      <c r="D63" s="73"/>
      <c r="E63" s="73"/>
      <c r="F63" s="73"/>
      <c r="G63" s="73"/>
    </row>
    <row r="64" ht="15.75" customHeight="1">
      <c r="B64" s="73"/>
      <c r="C64" s="73"/>
      <c r="D64" s="73"/>
      <c r="E64" s="73"/>
      <c r="F64" s="73"/>
      <c r="G64" s="73"/>
    </row>
    <row r="65" ht="15.75" customHeight="1">
      <c r="B65" s="73"/>
      <c r="C65" s="73"/>
      <c r="D65" s="73"/>
      <c r="E65" s="73"/>
      <c r="F65" s="73"/>
      <c r="G65" s="73"/>
    </row>
    <row r="66" ht="15.75" customHeight="1">
      <c r="B66" s="73"/>
      <c r="C66" s="73"/>
      <c r="D66" s="73"/>
      <c r="E66" s="73"/>
      <c r="F66" s="73"/>
      <c r="G66" s="73"/>
    </row>
    <row r="67" ht="15.75" customHeight="1">
      <c r="B67" s="73"/>
      <c r="C67" s="73"/>
      <c r="D67" s="73"/>
      <c r="E67" s="73"/>
      <c r="F67" s="73"/>
      <c r="G67" s="73"/>
    </row>
    <row r="68" ht="15.75" customHeight="1">
      <c r="B68" s="73"/>
      <c r="C68" s="73"/>
      <c r="D68" s="73"/>
      <c r="E68" s="73"/>
      <c r="F68" s="73"/>
      <c r="G68" s="73"/>
    </row>
    <row r="69" ht="15.75" customHeight="1">
      <c r="B69" s="73"/>
      <c r="C69" s="73"/>
      <c r="D69" s="73"/>
      <c r="E69" s="73"/>
      <c r="F69" s="73"/>
      <c r="G69" s="73"/>
    </row>
    <row r="70" ht="15.75" customHeight="1">
      <c r="B70" s="73"/>
      <c r="C70" s="73"/>
      <c r="D70" s="73"/>
      <c r="E70" s="73"/>
      <c r="F70" s="73"/>
      <c r="G70" s="73"/>
    </row>
    <row r="71" ht="15.75" customHeight="1">
      <c r="B71" s="73"/>
      <c r="C71" s="73"/>
      <c r="D71" s="73"/>
      <c r="E71" s="73"/>
      <c r="F71" s="73"/>
      <c r="G71" s="73"/>
    </row>
    <row r="72" ht="15.75" customHeight="1">
      <c r="B72" s="73"/>
      <c r="C72" s="73"/>
      <c r="D72" s="73"/>
      <c r="E72" s="73"/>
      <c r="F72" s="73"/>
      <c r="G72" s="73"/>
    </row>
    <row r="73" ht="15.75" customHeight="1">
      <c r="B73" s="73"/>
      <c r="C73" s="73"/>
      <c r="D73" s="73"/>
      <c r="E73" s="73"/>
      <c r="F73" s="73"/>
      <c r="G73" s="73"/>
    </row>
    <row r="74" ht="15.75" customHeight="1">
      <c r="B74" s="73"/>
      <c r="C74" s="73"/>
      <c r="D74" s="73"/>
      <c r="E74" s="73"/>
      <c r="F74" s="73"/>
      <c r="G74" s="73"/>
    </row>
    <row r="75" ht="15.75" customHeight="1">
      <c r="B75" s="73"/>
      <c r="C75" s="73"/>
      <c r="D75" s="73"/>
      <c r="E75" s="73"/>
      <c r="F75" s="73"/>
      <c r="G75" s="73"/>
    </row>
    <row r="76" ht="15.75" customHeight="1">
      <c r="B76" s="73"/>
      <c r="C76" s="73"/>
      <c r="D76" s="73"/>
      <c r="E76" s="73"/>
      <c r="F76" s="73"/>
      <c r="G76" s="73"/>
    </row>
    <row r="77" ht="15.75" customHeight="1">
      <c r="B77" s="73"/>
      <c r="C77" s="73"/>
      <c r="D77" s="73"/>
      <c r="E77" s="73"/>
      <c r="F77" s="73"/>
      <c r="G77" s="73"/>
    </row>
    <row r="78" ht="15.75" customHeight="1">
      <c r="B78" s="73"/>
      <c r="C78" s="73"/>
      <c r="D78" s="73"/>
      <c r="E78" s="73"/>
      <c r="F78" s="73"/>
      <c r="G78" s="73"/>
    </row>
    <row r="79" ht="15.75" customHeight="1">
      <c r="B79" s="73"/>
      <c r="C79" s="73"/>
      <c r="D79" s="73"/>
      <c r="E79" s="73"/>
      <c r="F79" s="73"/>
      <c r="G79" s="73"/>
    </row>
    <row r="80" ht="15.75" customHeight="1">
      <c r="B80" s="73"/>
      <c r="C80" s="73"/>
      <c r="D80" s="73"/>
      <c r="E80" s="73"/>
      <c r="F80" s="73"/>
      <c r="G80" s="73"/>
    </row>
    <row r="81" ht="15.75" customHeight="1">
      <c r="B81" s="73"/>
      <c r="C81" s="73"/>
      <c r="D81" s="73"/>
      <c r="E81" s="73"/>
      <c r="F81" s="73"/>
      <c r="G81" s="73"/>
    </row>
    <row r="82" ht="15.75" customHeight="1">
      <c r="B82" s="73"/>
      <c r="C82" s="73"/>
      <c r="D82" s="73"/>
      <c r="E82" s="73"/>
      <c r="F82" s="73"/>
      <c r="G82" s="73"/>
    </row>
    <row r="83" ht="15.75" customHeight="1">
      <c r="B83" s="73"/>
      <c r="C83" s="73"/>
      <c r="D83" s="73"/>
      <c r="E83" s="73"/>
      <c r="F83" s="73"/>
      <c r="G83" s="73"/>
    </row>
    <row r="84" ht="15.75" customHeight="1">
      <c r="B84" s="73"/>
      <c r="C84" s="73"/>
      <c r="D84" s="73"/>
      <c r="E84" s="73"/>
      <c r="F84" s="73"/>
      <c r="G84" s="73"/>
    </row>
    <row r="85" ht="15.75" customHeight="1">
      <c r="B85" s="73"/>
      <c r="C85" s="73"/>
      <c r="D85" s="73"/>
      <c r="E85" s="73"/>
      <c r="F85" s="73"/>
      <c r="G85" s="73"/>
    </row>
    <row r="86" ht="15.75" customHeight="1">
      <c r="B86" s="73"/>
      <c r="C86" s="73"/>
      <c r="D86" s="73"/>
      <c r="E86" s="73"/>
      <c r="F86" s="73"/>
      <c r="G86" s="73"/>
    </row>
    <row r="87" ht="15.75" customHeight="1">
      <c r="B87" s="73"/>
      <c r="C87" s="73"/>
      <c r="D87" s="73"/>
      <c r="E87" s="73"/>
      <c r="F87" s="73"/>
      <c r="G87" s="73"/>
    </row>
    <row r="88" ht="15.75" customHeight="1">
      <c r="B88" s="73"/>
      <c r="C88" s="73"/>
      <c r="D88" s="73"/>
      <c r="E88" s="73"/>
      <c r="F88" s="73"/>
      <c r="G88" s="73"/>
    </row>
    <row r="89" ht="15.75" customHeight="1">
      <c r="B89" s="73"/>
      <c r="C89" s="73"/>
      <c r="D89" s="73"/>
      <c r="E89" s="73"/>
      <c r="F89" s="73"/>
      <c r="G89" s="73"/>
    </row>
    <row r="90" ht="15.75" customHeight="1">
      <c r="B90" s="73"/>
      <c r="C90" s="73"/>
      <c r="D90" s="73"/>
      <c r="E90" s="73"/>
      <c r="F90" s="73"/>
      <c r="G90" s="73"/>
    </row>
    <row r="91" ht="15.75" customHeight="1">
      <c r="B91" s="73"/>
      <c r="C91" s="73"/>
      <c r="D91" s="73"/>
      <c r="E91" s="73"/>
      <c r="F91" s="73"/>
      <c r="G91" s="73"/>
    </row>
    <row r="92" ht="15.75" customHeight="1">
      <c r="B92" s="73"/>
      <c r="C92" s="73"/>
      <c r="D92" s="73"/>
      <c r="E92" s="73"/>
      <c r="F92" s="73"/>
      <c r="G92" s="73"/>
    </row>
    <row r="93" ht="15.75" customHeight="1">
      <c r="B93" s="73"/>
      <c r="C93" s="73"/>
      <c r="D93" s="73"/>
      <c r="E93" s="73"/>
      <c r="F93" s="73"/>
      <c r="G93" s="73"/>
    </row>
    <row r="94" ht="15.75" customHeight="1">
      <c r="B94" s="73"/>
      <c r="C94" s="73"/>
      <c r="D94" s="73"/>
      <c r="E94" s="73"/>
      <c r="F94" s="73"/>
      <c r="G94" s="73"/>
    </row>
    <row r="95" ht="15.75" customHeight="1">
      <c r="B95" s="73"/>
      <c r="C95" s="73"/>
      <c r="D95" s="73"/>
      <c r="E95" s="73"/>
      <c r="F95" s="73"/>
      <c r="G95" s="73"/>
    </row>
    <row r="96" ht="15.75" customHeight="1">
      <c r="B96" s="73"/>
      <c r="C96" s="73"/>
      <c r="D96" s="73"/>
      <c r="E96" s="73"/>
      <c r="F96" s="73"/>
      <c r="G96" s="73"/>
    </row>
    <row r="97" ht="15.75" customHeight="1">
      <c r="B97" s="73"/>
      <c r="C97" s="73"/>
      <c r="D97" s="73"/>
      <c r="E97" s="73"/>
      <c r="F97" s="73"/>
      <c r="G97" s="73"/>
    </row>
    <row r="98" ht="15.75" customHeight="1">
      <c r="B98" s="73"/>
      <c r="C98" s="73"/>
      <c r="D98" s="73"/>
      <c r="E98" s="73"/>
      <c r="F98" s="73"/>
      <c r="G98" s="73"/>
    </row>
    <row r="99" ht="15.75" customHeight="1">
      <c r="B99" s="73"/>
      <c r="C99" s="73"/>
      <c r="D99" s="73"/>
      <c r="E99" s="73"/>
      <c r="F99" s="73"/>
      <c r="G99" s="73"/>
    </row>
    <row r="100" ht="15.75" customHeight="1">
      <c r="B100" s="73"/>
      <c r="C100" s="73"/>
      <c r="D100" s="73"/>
      <c r="E100" s="73"/>
      <c r="F100" s="73"/>
      <c r="G100" s="73"/>
    </row>
    <row r="101" ht="15.75" customHeight="1">
      <c r="B101" s="73"/>
      <c r="C101" s="73"/>
      <c r="D101" s="73"/>
      <c r="E101" s="73"/>
      <c r="F101" s="73"/>
      <c r="G101" s="73"/>
    </row>
    <row r="102" ht="15.75" customHeight="1">
      <c r="B102" s="73"/>
      <c r="C102" s="73"/>
      <c r="D102" s="73"/>
      <c r="E102" s="73"/>
      <c r="F102" s="73"/>
      <c r="G102" s="73"/>
    </row>
    <row r="103" ht="15.75" customHeight="1">
      <c r="B103" s="73"/>
      <c r="C103" s="73"/>
      <c r="D103" s="73"/>
      <c r="E103" s="73"/>
      <c r="F103" s="73"/>
      <c r="G103" s="73"/>
    </row>
    <row r="104" ht="15.75" customHeight="1">
      <c r="B104" s="73"/>
      <c r="C104" s="73"/>
      <c r="D104" s="73"/>
      <c r="E104" s="73"/>
      <c r="F104" s="73"/>
      <c r="G104" s="73"/>
    </row>
    <row r="105" ht="15.75" customHeight="1">
      <c r="B105" s="73"/>
      <c r="C105" s="73"/>
      <c r="D105" s="73"/>
      <c r="E105" s="73"/>
      <c r="F105" s="73"/>
      <c r="G105" s="73"/>
    </row>
    <row r="106" ht="15.75" customHeight="1">
      <c r="B106" s="73"/>
      <c r="C106" s="73"/>
      <c r="D106" s="73"/>
      <c r="E106" s="73"/>
      <c r="F106" s="73"/>
      <c r="G106" s="73"/>
    </row>
    <row r="107" ht="15.75" customHeight="1">
      <c r="B107" s="73"/>
      <c r="C107" s="73"/>
      <c r="D107" s="73"/>
      <c r="E107" s="73"/>
      <c r="F107" s="73"/>
      <c r="G107" s="73"/>
    </row>
    <row r="108" ht="15.75" customHeight="1">
      <c r="B108" s="73"/>
      <c r="C108" s="73"/>
      <c r="D108" s="73"/>
      <c r="E108" s="73"/>
      <c r="F108" s="73"/>
      <c r="G108" s="73"/>
    </row>
    <row r="109" ht="15.75" customHeight="1">
      <c r="B109" s="73"/>
      <c r="C109" s="73"/>
      <c r="D109" s="73"/>
      <c r="E109" s="73"/>
      <c r="F109" s="73"/>
      <c r="G109" s="73"/>
    </row>
    <row r="110" ht="15.75" customHeight="1">
      <c r="B110" s="73"/>
      <c r="C110" s="73"/>
      <c r="D110" s="73"/>
      <c r="E110" s="73"/>
      <c r="F110" s="73"/>
      <c r="G110" s="73"/>
    </row>
    <row r="111" ht="15.75" customHeight="1">
      <c r="B111" s="73"/>
      <c r="C111" s="73"/>
      <c r="D111" s="73"/>
      <c r="E111" s="73"/>
      <c r="F111" s="73"/>
      <c r="G111" s="73"/>
    </row>
    <row r="112" ht="15.75" customHeight="1">
      <c r="B112" s="73"/>
      <c r="C112" s="73"/>
      <c r="D112" s="73"/>
      <c r="E112" s="73"/>
      <c r="F112" s="73"/>
      <c r="G112" s="73"/>
    </row>
    <row r="113" ht="15.75" customHeight="1">
      <c r="B113" s="73"/>
      <c r="C113" s="73"/>
      <c r="D113" s="73"/>
      <c r="E113" s="73"/>
      <c r="F113" s="73"/>
      <c r="G113" s="73"/>
    </row>
    <row r="114" ht="15.75" customHeight="1">
      <c r="B114" s="73"/>
      <c r="C114" s="73"/>
      <c r="D114" s="73"/>
      <c r="E114" s="73"/>
      <c r="F114" s="73"/>
      <c r="G114" s="73"/>
    </row>
    <row r="115" ht="15.75" customHeight="1">
      <c r="B115" s="73"/>
      <c r="C115" s="73"/>
      <c r="D115" s="73"/>
      <c r="E115" s="73"/>
      <c r="F115" s="73"/>
      <c r="G115" s="73"/>
    </row>
    <row r="116" ht="15.75" customHeight="1">
      <c r="B116" s="73"/>
      <c r="C116" s="73"/>
      <c r="D116" s="73"/>
      <c r="E116" s="73"/>
      <c r="F116" s="73"/>
      <c r="G116" s="73"/>
    </row>
    <row r="117" ht="15.75" customHeight="1">
      <c r="B117" s="73"/>
      <c r="C117" s="73"/>
      <c r="D117" s="73"/>
      <c r="E117" s="73"/>
      <c r="F117" s="73"/>
      <c r="G117" s="73"/>
    </row>
    <row r="118" ht="15.75" customHeight="1">
      <c r="B118" s="73"/>
      <c r="C118" s="73"/>
      <c r="D118" s="73"/>
      <c r="E118" s="73"/>
      <c r="F118" s="73"/>
      <c r="G118" s="73"/>
    </row>
    <row r="119" ht="15.75" customHeight="1">
      <c r="B119" s="73"/>
      <c r="C119" s="73"/>
      <c r="D119" s="73"/>
      <c r="E119" s="73"/>
      <c r="F119" s="73"/>
      <c r="G119" s="73"/>
    </row>
    <row r="120" ht="15.75" customHeight="1">
      <c r="B120" s="73"/>
      <c r="C120" s="73"/>
      <c r="D120" s="73"/>
      <c r="E120" s="73"/>
      <c r="F120" s="73"/>
      <c r="G120" s="73"/>
    </row>
    <row r="121" ht="15.75" customHeight="1">
      <c r="B121" s="73"/>
      <c r="C121" s="73"/>
      <c r="D121" s="73"/>
      <c r="E121" s="73"/>
      <c r="F121" s="73"/>
      <c r="G121" s="73"/>
    </row>
    <row r="122" ht="15.75" customHeight="1">
      <c r="B122" s="73"/>
      <c r="C122" s="73"/>
      <c r="D122" s="73"/>
      <c r="E122" s="73"/>
      <c r="F122" s="73"/>
      <c r="G122" s="73"/>
    </row>
    <row r="123" ht="15.75" customHeight="1">
      <c r="B123" s="73"/>
      <c r="C123" s="73"/>
      <c r="D123" s="73"/>
      <c r="E123" s="73"/>
      <c r="F123" s="73"/>
      <c r="G123" s="73"/>
    </row>
    <row r="124" ht="15.75" customHeight="1">
      <c r="B124" s="73"/>
      <c r="C124" s="73"/>
      <c r="D124" s="73"/>
      <c r="E124" s="73"/>
      <c r="F124" s="73"/>
      <c r="G124" s="73"/>
    </row>
    <row r="125" ht="15.75" customHeight="1">
      <c r="B125" s="73"/>
      <c r="C125" s="73"/>
      <c r="D125" s="73"/>
      <c r="E125" s="73"/>
      <c r="F125" s="73"/>
      <c r="G125" s="73"/>
    </row>
    <row r="126" ht="15.75" customHeight="1">
      <c r="B126" s="73"/>
      <c r="C126" s="73"/>
      <c r="D126" s="73"/>
      <c r="E126" s="73"/>
      <c r="F126" s="73"/>
      <c r="G126" s="73"/>
    </row>
    <row r="127" ht="15.75" customHeight="1">
      <c r="B127" s="73"/>
      <c r="C127" s="73"/>
      <c r="D127" s="73"/>
      <c r="E127" s="73"/>
      <c r="F127" s="73"/>
      <c r="G127" s="73"/>
    </row>
    <row r="128" ht="15.75" customHeight="1">
      <c r="B128" s="73"/>
      <c r="C128" s="73"/>
      <c r="D128" s="73"/>
      <c r="E128" s="73"/>
      <c r="F128" s="73"/>
      <c r="G128" s="73"/>
    </row>
    <row r="129" ht="15.75" customHeight="1">
      <c r="B129" s="73"/>
      <c r="C129" s="73"/>
      <c r="D129" s="73"/>
      <c r="E129" s="73"/>
      <c r="F129" s="73"/>
      <c r="G129" s="73"/>
    </row>
    <row r="130" ht="15.75" customHeight="1">
      <c r="B130" s="73"/>
      <c r="C130" s="73"/>
      <c r="D130" s="73"/>
      <c r="E130" s="73"/>
      <c r="F130" s="73"/>
      <c r="G130" s="73"/>
    </row>
    <row r="131" ht="15.75" customHeight="1">
      <c r="B131" s="73"/>
      <c r="C131" s="73"/>
      <c r="D131" s="73"/>
      <c r="E131" s="73"/>
      <c r="F131" s="73"/>
      <c r="G131" s="73"/>
    </row>
    <row r="132" ht="15.75" customHeight="1">
      <c r="B132" s="73"/>
      <c r="C132" s="73"/>
      <c r="D132" s="73"/>
      <c r="E132" s="73"/>
      <c r="F132" s="73"/>
      <c r="G132" s="73"/>
    </row>
    <row r="133" ht="15.75" customHeight="1">
      <c r="B133" s="73"/>
      <c r="C133" s="73"/>
      <c r="D133" s="73"/>
      <c r="E133" s="73"/>
      <c r="F133" s="73"/>
      <c r="G133" s="73"/>
    </row>
    <row r="134" ht="15.75" customHeight="1">
      <c r="B134" s="73"/>
      <c r="C134" s="73"/>
      <c r="D134" s="73"/>
      <c r="E134" s="73"/>
      <c r="F134" s="73"/>
      <c r="G134" s="73"/>
    </row>
    <row r="135" ht="15.75" customHeight="1">
      <c r="B135" s="73"/>
      <c r="C135" s="73"/>
      <c r="D135" s="73"/>
      <c r="E135" s="73"/>
      <c r="F135" s="73"/>
      <c r="G135" s="73"/>
    </row>
    <row r="136" ht="15.75" customHeight="1">
      <c r="B136" s="73"/>
      <c r="C136" s="73"/>
      <c r="D136" s="73"/>
      <c r="E136" s="73"/>
      <c r="F136" s="73"/>
      <c r="G136" s="73"/>
    </row>
    <row r="137" ht="15.75" customHeight="1">
      <c r="B137" s="73"/>
      <c r="C137" s="73"/>
      <c r="D137" s="73"/>
      <c r="E137" s="73"/>
      <c r="F137" s="73"/>
      <c r="G137" s="73"/>
    </row>
    <row r="138" ht="15.75" customHeight="1">
      <c r="B138" s="73"/>
      <c r="C138" s="73"/>
      <c r="D138" s="73"/>
      <c r="E138" s="73"/>
      <c r="F138" s="73"/>
      <c r="G138" s="73"/>
    </row>
    <row r="139" ht="15.75" customHeight="1">
      <c r="B139" s="73"/>
      <c r="C139" s="73"/>
      <c r="D139" s="73"/>
      <c r="E139" s="73"/>
      <c r="F139" s="73"/>
      <c r="G139" s="73"/>
    </row>
    <row r="140" ht="15.75" customHeight="1">
      <c r="B140" s="73"/>
      <c r="C140" s="73"/>
      <c r="D140" s="73"/>
      <c r="E140" s="73"/>
      <c r="F140" s="73"/>
      <c r="G140" s="73"/>
    </row>
    <row r="141" ht="15.75" customHeight="1">
      <c r="B141" s="73"/>
      <c r="C141" s="73"/>
      <c r="D141" s="73"/>
      <c r="E141" s="73"/>
      <c r="F141" s="73"/>
      <c r="G141" s="73"/>
    </row>
    <row r="142" ht="15.75" customHeight="1">
      <c r="B142" s="73"/>
      <c r="C142" s="73"/>
      <c r="D142" s="73"/>
      <c r="E142" s="73"/>
      <c r="F142" s="73"/>
      <c r="G142" s="73"/>
    </row>
    <row r="143" ht="15.75" customHeight="1">
      <c r="B143" s="73"/>
      <c r="C143" s="73"/>
      <c r="D143" s="73"/>
      <c r="E143" s="73"/>
      <c r="F143" s="73"/>
      <c r="G143" s="73"/>
    </row>
    <row r="144" ht="15.75" customHeight="1">
      <c r="B144" s="73"/>
      <c r="C144" s="73"/>
      <c r="D144" s="73"/>
      <c r="E144" s="73"/>
      <c r="F144" s="73"/>
      <c r="G144" s="73"/>
    </row>
    <row r="145" ht="15.75" customHeight="1">
      <c r="B145" s="73"/>
      <c r="C145" s="73"/>
      <c r="D145" s="73"/>
      <c r="E145" s="73"/>
      <c r="F145" s="73"/>
      <c r="G145" s="73"/>
    </row>
    <row r="146" ht="15.75" customHeight="1">
      <c r="B146" s="73"/>
      <c r="C146" s="73"/>
      <c r="D146" s="73"/>
      <c r="E146" s="73"/>
      <c r="F146" s="73"/>
      <c r="G146" s="73"/>
    </row>
    <row r="147" ht="15.75" customHeight="1">
      <c r="B147" s="73"/>
      <c r="C147" s="73"/>
      <c r="D147" s="73"/>
      <c r="E147" s="73"/>
      <c r="F147" s="73"/>
      <c r="G147" s="73"/>
    </row>
    <row r="148" ht="15.75" customHeight="1">
      <c r="B148" s="73"/>
      <c r="C148" s="73"/>
      <c r="D148" s="73"/>
      <c r="E148" s="73"/>
      <c r="F148" s="73"/>
      <c r="G148" s="73"/>
    </row>
    <row r="149" ht="15.75" customHeight="1">
      <c r="B149" s="73"/>
      <c r="C149" s="73"/>
      <c r="D149" s="73"/>
      <c r="E149" s="73"/>
      <c r="F149" s="73"/>
      <c r="G149" s="73"/>
    </row>
    <row r="150" ht="15.75" customHeight="1">
      <c r="B150" s="73"/>
      <c r="C150" s="73"/>
      <c r="D150" s="73"/>
      <c r="E150" s="73"/>
      <c r="F150" s="73"/>
      <c r="G150" s="73"/>
    </row>
    <row r="151" ht="15.75" customHeight="1">
      <c r="B151" s="73"/>
      <c r="C151" s="73"/>
      <c r="D151" s="73"/>
      <c r="E151" s="73"/>
      <c r="F151" s="73"/>
      <c r="G151" s="73"/>
    </row>
    <row r="152" ht="15.75" customHeight="1">
      <c r="B152" s="73"/>
      <c r="C152" s="73"/>
      <c r="D152" s="73"/>
      <c r="E152" s="73"/>
      <c r="F152" s="73"/>
      <c r="G152" s="73"/>
    </row>
    <row r="153" ht="15.75" customHeight="1">
      <c r="B153" s="73"/>
      <c r="C153" s="73"/>
      <c r="D153" s="73"/>
      <c r="E153" s="73"/>
      <c r="F153" s="73"/>
      <c r="G153" s="73"/>
    </row>
    <row r="154" ht="15.75" customHeight="1">
      <c r="B154" s="73"/>
      <c r="C154" s="73"/>
      <c r="D154" s="73"/>
      <c r="E154" s="73"/>
      <c r="F154" s="73"/>
      <c r="G154" s="73"/>
    </row>
    <row r="155" ht="15.75" customHeight="1">
      <c r="B155" s="73"/>
      <c r="C155" s="73"/>
      <c r="D155" s="73"/>
      <c r="E155" s="73"/>
      <c r="F155" s="73"/>
      <c r="G155" s="73"/>
    </row>
    <row r="156" ht="15.75" customHeight="1">
      <c r="B156" s="73"/>
      <c r="C156" s="73"/>
      <c r="D156" s="73"/>
      <c r="E156" s="73"/>
      <c r="F156" s="73"/>
      <c r="G156" s="73"/>
    </row>
    <row r="157" ht="15.75" customHeight="1">
      <c r="B157" s="73"/>
      <c r="C157" s="73"/>
      <c r="D157" s="73"/>
      <c r="E157" s="73"/>
      <c r="F157" s="73"/>
      <c r="G157" s="73"/>
    </row>
    <row r="158" ht="15.75" customHeight="1">
      <c r="B158" s="73"/>
      <c r="C158" s="73"/>
      <c r="D158" s="73"/>
      <c r="E158" s="73"/>
      <c r="F158" s="73"/>
      <c r="G158" s="73"/>
    </row>
    <row r="159" ht="15.75" customHeight="1">
      <c r="B159" s="73"/>
      <c r="C159" s="73"/>
      <c r="D159" s="73"/>
      <c r="E159" s="73"/>
      <c r="F159" s="73"/>
      <c r="G159" s="73"/>
    </row>
    <row r="160" ht="15.75" customHeight="1">
      <c r="B160" s="73"/>
      <c r="C160" s="73"/>
      <c r="D160" s="73"/>
      <c r="E160" s="73"/>
      <c r="F160" s="73"/>
      <c r="G160" s="73"/>
    </row>
    <row r="161" ht="15.75" customHeight="1">
      <c r="B161" s="73"/>
      <c r="C161" s="73"/>
      <c r="D161" s="73"/>
      <c r="E161" s="73"/>
      <c r="F161" s="73"/>
      <c r="G161" s="73"/>
    </row>
    <row r="162" ht="15.75" customHeight="1">
      <c r="B162" s="73"/>
      <c r="C162" s="73"/>
      <c r="D162" s="73"/>
      <c r="E162" s="73"/>
      <c r="F162" s="73"/>
      <c r="G162" s="73"/>
    </row>
    <row r="163" ht="15.75" customHeight="1">
      <c r="B163" s="73"/>
      <c r="C163" s="73"/>
      <c r="D163" s="73"/>
      <c r="E163" s="73"/>
      <c r="F163" s="73"/>
      <c r="G163" s="73"/>
    </row>
    <row r="164" ht="15.75" customHeight="1">
      <c r="B164" s="73"/>
      <c r="C164" s="73"/>
      <c r="D164" s="73"/>
      <c r="E164" s="73"/>
      <c r="F164" s="73"/>
      <c r="G164" s="73"/>
    </row>
    <row r="165" ht="15.75" customHeight="1">
      <c r="B165" s="73"/>
      <c r="C165" s="73"/>
      <c r="D165" s="73"/>
      <c r="E165" s="73"/>
      <c r="F165" s="73"/>
      <c r="G165" s="73"/>
    </row>
    <row r="166" ht="15.75" customHeight="1">
      <c r="B166" s="73"/>
      <c r="C166" s="73"/>
      <c r="D166" s="73"/>
      <c r="E166" s="73"/>
      <c r="F166" s="73"/>
      <c r="G166" s="73"/>
    </row>
    <row r="167" ht="15.75" customHeight="1">
      <c r="B167" s="73"/>
      <c r="C167" s="73"/>
      <c r="D167" s="73"/>
      <c r="E167" s="73"/>
      <c r="F167" s="73"/>
      <c r="G167" s="73"/>
    </row>
    <row r="168" ht="15.75" customHeight="1">
      <c r="B168" s="73"/>
      <c r="C168" s="73"/>
      <c r="D168" s="73"/>
      <c r="E168" s="73"/>
      <c r="F168" s="73"/>
      <c r="G168" s="73"/>
    </row>
    <row r="169" ht="15.75" customHeight="1">
      <c r="B169" s="73"/>
      <c r="C169" s="73"/>
      <c r="D169" s="73"/>
      <c r="E169" s="73"/>
      <c r="F169" s="73"/>
      <c r="G169" s="73"/>
    </row>
    <row r="170" ht="15.75" customHeight="1">
      <c r="B170" s="73"/>
      <c r="C170" s="73"/>
      <c r="D170" s="73"/>
      <c r="E170" s="73"/>
      <c r="F170" s="73"/>
      <c r="G170" s="73"/>
    </row>
    <row r="171" ht="15.75" customHeight="1">
      <c r="B171" s="73"/>
      <c r="C171" s="73"/>
      <c r="D171" s="73"/>
      <c r="E171" s="73"/>
      <c r="F171" s="73"/>
      <c r="G171" s="73"/>
    </row>
    <row r="172" ht="15.75" customHeight="1">
      <c r="B172" s="73"/>
      <c r="C172" s="73"/>
      <c r="D172" s="73"/>
      <c r="E172" s="73"/>
      <c r="F172" s="73"/>
      <c r="G172" s="73"/>
    </row>
    <row r="173" ht="15.75" customHeight="1">
      <c r="B173" s="73"/>
      <c r="C173" s="73"/>
      <c r="D173" s="73"/>
      <c r="E173" s="73"/>
      <c r="F173" s="73"/>
      <c r="G173" s="73"/>
    </row>
    <row r="174" ht="15.75" customHeight="1">
      <c r="B174" s="73"/>
      <c r="C174" s="73"/>
      <c r="D174" s="73"/>
      <c r="E174" s="73"/>
      <c r="F174" s="73"/>
      <c r="G174" s="73"/>
    </row>
    <row r="175" ht="15.75" customHeight="1">
      <c r="B175" s="73"/>
      <c r="C175" s="73"/>
      <c r="D175" s="73"/>
      <c r="E175" s="73"/>
      <c r="F175" s="73"/>
      <c r="G175" s="73"/>
    </row>
    <row r="176" ht="15.75" customHeight="1">
      <c r="B176" s="73"/>
      <c r="C176" s="73"/>
      <c r="D176" s="73"/>
      <c r="E176" s="73"/>
      <c r="F176" s="73"/>
      <c r="G176" s="73"/>
    </row>
    <row r="177" ht="15.75" customHeight="1">
      <c r="B177" s="73"/>
      <c r="C177" s="73"/>
      <c r="D177" s="73"/>
      <c r="E177" s="73"/>
      <c r="F177" s="73"/>
      <c r="G177" s="73"/>
    </row>
    <row r="178" ht="15.75" customHeight="1">
      <c r="B178" s="73"/>
      <c r="C178" s="73"/>
      <c r="D178" s="73"/>
      <c r="E178" s="73"/>
      <c r="F178" s="73"/>
      <c r="G178" s="73"/>
    </row>
    <row r="179" ht="15.75" customHeight="1">
      <c r="B179" s="73"/>
      <c r="C179" s="73"/>
      <c r="D179" s="73"/>
      <c r="E179" s="73"/>
      <c r="F179" s="73"/>
      <c r="G179" s="73"/>
    </row>
    <row r="180" ht="15.75" customHeight="1">
      <c r="B180" s="73"/>
      <c r="C180" s="73"/>
      <c r="D180" s="73"/>
      <c r="E180" s="73"/>
      <c r="F180" s="73"/>
      <c r="G180" s="73"/>
    </row>
    <row r="181" ht="15.75" customHeight="1">
      <c r="B181" s="73"/>
      <c r="C181" s="73"/>
      <c r="D181" s="73"/>
      <c r="E181" s="73"/>
      <c r="F181" s="73"/>
      <c r="G181" s="73"/>
    </row>
    <row r="182" ht="15.75" customHeight="1">
      <c r="B182" s="73"/>
      <c r="C182" s="73"/>
      <c r="D182" s="73"/>
      <c r="E182" s="73"/>
      <c r="F182" s="73"/>
      <c r="G182" s="73"/>
    </row>
    <row r="183" ht="15.75" customHeight="1">
      <c r="B183" s="73"/>
      <c r="C183" s="73"/>
      <c r="D183" s="73"/>
      <c r="E183" s="73"/>
      <c r="F183" s="73"/>
      <c r="G183" s="73"/>
    </row>
    <row r="184" ht="15.75" customHeight="1">
      <c r="B184" s="73"/>
      <c r="C184" s="73"/>
      <c r="D184" s="73"/>
      <c r="E184" s="73"/>
      <c r="F184" s="73"/>
      <c r="G184" s="73"/>
    </row>
    <row r="185" ht="15.75" customHeight="1">
      <c r="B185" s="73"/>
      <c r="C185" s="73"/>
      <c r="D185" s="73"/>
      <c r="E185" s="73"/>
      <c r="F185" s="73"/>
      <c r="G185" s="73"/>
    </row>
    <row r="186" ht="15.75" customHeight="1">
      <c r="B186" s="73"/>
      <c r="C186" s="73"/>
      <c r="D186" s="73"/>
      <c r="E186" s="73"/>
      <c r="F186" s="73"/>
      <c r="G186" s="73"/>
    </row>
    <row r="187" ht="15.75" customHeight="1">
      <c r="B187" s="73"/>
      <c r="C187" s="73"/>
      <c r="D187" s="73"/>
      <c r="E187" s="73"/>
      <c r="F187" s="73"/>
      <c r="G187" s="73"/>
    </row>
    <row r="188" ht="15.75" customHeight="1">
      <c r="B188" s="73"/>
      <c r="C188" s="73"/>
      <c r="D188" s="73"/>
      <c r="E188" s="73"/>
      <c r="F188" s="73"/>
      <c r="G188" s="73"/>
    </row>
    <row r="189" ht="15.75" customHeight="1">
      <c r="B189" s="73"/>
      <c r="C189" s="73"/>
      <c r="D189" s="73"/>
      <c r="E189" s="73"/>
      <c r="F189" s="73"/>
      <c r="G189" s="73"/>
    </row>
    <row r="190" ht="15.75" customHeight="1">
      <c r="B190" s="73"/>
      <c r="C190" s="73"/>
      <c r="D190" s="73"/>
      <c r="E190" s="73"/>
      <c r="F190" s="73"/>
      <c r="G190" s="73"/>
    </row>
    <row r="191" ht="15.75" customHeight="1">
      <c r="B191" s="73"/>
      <c r="C191" s="73"/>
      <c r="D191" s="73"/>
      <c r="E191" s="73"/>
      <c r="F191" s="73"/>
      <c r="G191" s="73"/>
    </row>
    <row r="192" ht="15.75" customHeight="1">
      <c r="B192" s="73"/>
      <c r="C192" s="73"/>
      <c r="D192" s="73"/>
      <c r="E192" s="73"/>
      <c r="F192" s="73"/>
      <c r="G192" s="73"/>
    </row>
    <row r="193" ht="15.75" customHeight="1">
      <c r="B193" s="73"/>
      <c r="C193" s="73"/>
      <c r="D193" s="73"/>
      <c r="E193" s="73"/>
      <c r="F193" s="73"/>
      <c r="G193" s="73"/>
    </row>
    <row r="194" ht="15.75" customHeight="1">
      <c r="B194" s="73"/>
      <c r="C194" s="73"/>
      <c r="D194" s="73"/>
      <c r="E194" s="73"/>
      <c r="F194" s="73"/>
      <c r="G194" s="73"/>
    </row>
    <row r="195" ht="15.75" customHeight="1">
      <c r="B195" s="73"/>
      <c r="C195" s="73"/>
      <c r="D195" s="73"/>
      <c r="E195" s="73"/>
      <c r="F195" s="73"/>
      <c r="G195" s="73"/>
    </row>
    <row r="196" ht="15.75" customHeight="1">
      <c r="B196" s="73"/>
      <c r="C196" s="73"/>
      <c r="D196" s="73"/>
      <c r="E196" s="73"/>
      <c r="F196" s="73"/>
      <c r="G196" s="73"/>
    </row>
    <row r="197" ht="15.75" customHeight="1">
      <c r="B197" s="73"/>
      <c r="C197" s="73"/>
      <c r="D197" s="73"/>
      <c r="E197" s="73"/>
      <c r="F197" s="73"/>
      <c r="G197" s="73"/>
    </row>
    <row r="198" ht="15.75" customHeight="1">
      <c r="B198" s="73"/>
      <c r="C198" s="73"/>
      <c r="D198" s="73"/>
      <c r="E198" s="73"/>
      <c r="F198" s="73"/>
      <c r="G198" s="73"/>
    </row>
    <row r="199" ht="15.75" customHeight="1">
      <c r="B199" s="73"/>
      <c r="C199" s="73"/>
      <c r="D199" s="73"/>
      <c r="E199" s="73"/>
      <c r="F199" s="73"/>
      <c r="G199" s="73"/>
    </row>
    <row r="200" ht="15.75" customHeight="1">
      <c r="B200" s="73"/>
      <c r="C200" s="73"/>
      <c r="D200" s="73"/>
      <c r="E200" s="73"/>
      <c r="F200" s="73"/>
      <c r="G200" s="73"/>
    </row>
    <row r="201" ht="15.75" customHeight="1">
      <c r="B201" s="73"/>
      <c r="C201" s="73"/>
      <c r="D201" s="73"/>
      <c r="E201" s="73"/>
      <c r="F201" s="73"/>
      <c r="G201" s="73"/>
    </row>
    <row r="202" ht="15.75" customHeight="1">
      <c r="B202" s="73"/>
      <c r="C202" s="73"/>
      <c r="D202" s="73"/>
      <c r="E202" s="73"/>
      <c r="F202" s="73"/>
      <c r="G202" s="73"/>
    </row>
    <row r="203" ht="15.75" customHeight="1">
      <c r="B203" s="73"/>
      <c r="C203" s="73"/>
      <c r="D203" s="73"/>
      <c r="E203" s="73"/>
      <c r="F203" s="73"/>
      <c r="G203" s="73"/>
    </row>
    <row r="204" ht="15.75" customHeight="1">
      <c r="B204" s="73"/>
      <c r="C204" s="73"/>
      <c r="D204" s="73"/>
      <c r="E204" s="73"/>
      <c r="F204" s="73"/>
      <c r="G204" s="73"/>
    </row>
    <row r="205" ht="15.75" customHeight="1">
      <c r="B205" s="73"/>
      <c r="C205" s="73"/>
      <c r="D205" s="73"/>
      <c r="E205" s="73"/>
      <c r="F205" s="73"/>
      <c r="G205" s="73"/>
    </row>
    <row r="206" ht="15.75" customHeight="1">
      <c r="B206" s="73"/>
      <c r="C206" s="73"/>
      <c r="D206" s="73"/>
      <c r="E206" s="73"/>
      <c r="F206" s="73"/>
      <c r="G206" s="73"/>
    </row>
    <row r="207" ht="15.75" customHeight="1">
      <c r="B207" s="73"/>
      <c r="C207" s="73"/>
      <c r="D207" s="73"/>
      <c r="E207" s="73"/>
      <c r="F207" s="73"/>
      <c r="G207" s="73"/>
    </row>
    <row r="208" ht="15.75" customHeight="1">
      <c r="B208" s="73"/>
      <c r="C208" s="73"/>
      <c r="D208" s="73"/>
      <c r="E208" s="73"/>
      <c r="F208" s="73"/>
      <c r="G208" s="73"/>
    </row>
    <row r="209" ht="15.75" customHeight="1">
      <c r="B209" s="73"/>
      <c r="C209" s="73"/>
      <c r="D209" s="73"/>
      <c r="E209" s="73"/>
      <c r="F209" s="73"/>
      <c r="G209" s="73"/>
    </row>
    <row r="210" ht="15.75" customHeight="1">
      <c r="B210" s="73"/>
      <c r="C210" s="73"/>
      <c r="D210" s="73"/>
      <c r="E210" s="73"/>
      <c r="F210" s="73"/>
      <c r="G210" s="73"/>
    </row>
    <row r="211" ht="15.75" customHeight="1">
      <c r="B211" s="73"/>
      <c r="C211" s="73"/>
      <c r="D211" s="73"/>
      <c r="E211" s="73"/>
      <c r="F211" s="73"/>
      <c r="G211" s="73"/>
    </row>
    <row r="212" ht="15.75" customHeight="1">
      <c r="B212" s="73"/>
      <c r="C212" s="73"/>
      <c r="D212" s="73"/>
      <c r="E212" s="73"/>
      <c r="F212" s="73"/>
      <c r="G212" s="73"/>
    </row>
    <row r="213" ht="15.75" customHeight="1">
      <c r="B213" s="73"/>
      <c r="C213" s="73"/>
      <c r="D213" s="73"/>
      <c r="E213" s="73"/>
      <c r="F213" s="73"/>
      <c r="G213" s="73"/>
    </row>
    <row r="214" ht="15.75" customHeight="1">
      <c r="B214" s="73"/>
      <c r="C214" s="73"/>
      <c r="D214" s="73"/>
      <c r="E214" s="73"/>
      <c r="F214" s="73"/>
      <c r="G214" s="73"/>
    </row>
    <row r="215" ht="15.75" customHeight="1">
      <c r="B215" s="73"/>
      <c r="C215" s="73"/>
      <c r="D215" s="73"/>
      <c r="E215" s="73"/>
      <c r="F215" s="73"/>
      <c r="G215" s="73"/>
    </row>
    <row r="216" ht="15.75" customHeight="1">
      <c r="B216" s="73"/>
      <c r="C216" s="73"/>
      <c r="D216" s="73"/>
      <c r="E216" s="73"/>
      <c r="F216" s="73"/>
      <c r="G216" s="73"/>
    </row>
    <row r="217" ht="15.75" customHeight="1">
      <c r="B217" s="73"/>
      <c r="C217" s="73"/>
      <c r="D217" s="73"/>
      <c r="E217" s="73"/>
      <c r="F217" s="73"/>
      <c r="G217" s="73"/>
    </row>
    <row r="218" ht="15.75" customHeight="1">
      <c r="B218" s="73"/>
      <c r="C218" s="73"/>
      <c r="D218" s="73"/>
      <c r="E218" s="73"/>
      <c r="F218" s="73"/>
      <c r="G218" s="73"/>
    </row>
    <row r="219" ht="15.75" customHeight="1">
      <c r="B219" s="73"/>
      <c r="C219" s="73"/>
      <c r="D219" s="73"/>
      <c r="E219" s="73"/>
      <c r="F219" s="73"/>
      <c r="G219" s="73"/>
    </row>
    <row r="220" ht="15.75" customHeight="1">
      <c r="B220" s="73"/>
      <c r="C220" s="73"/>
      <c r="D220" s="73"/>
      <c r="E220" s="73"/>
      <c r="F220" s="73"/>
      <c r="G220" s="73"/>
    </row>
    <row r="221" ht="15.75" customHeight="1">
      <c r="B221" s="73"/>
      <c r="C221" s="73"/>
      <c r="D221" s="73"/>
      <c r="E221" s="73"/>
      <c r="F221" s="73"/>
      <c r="G221" s="73"/>
    </row>
    <row r="222" ht="15.75" customHeight="1">
      <c r="B222" s="73"/>
      <c r="C222" s="73"/>
      <c r="D222" s="73"/>
      <c r="E222" s="73"/>
      <c r="F222" s="73"/>
      <c r="G222" s="73"/>
    </row>
    <row r="223" ht="15.75" customHeight="1">
      <c r="B223" s="73"/>
      <c r="C223" s="73"/>
      <c r="D223" s="73"/>
      <c r="E223" s="73"/>
      <c r="F223" s="73"/>
      <c r="G223" s="73"/>
    </row>
    <row r="224" ht="15.75" customHeight="1">
      <c r="B224" s="73"/>
      <c r="C224" s="73"/>
      <c r="D224" s="73"/>
      <c r="E224" s="73"/>
      <c r="F224" s="73"/>
      <c r="G224" s="73"/>
    </row>
    <row r="225" ht="15.75" customHeight="1">
      <c r="B225" s="73"/>
      <c r="C225" s="73"/>
      <c r="D225" s="73"/>
      <c r="E225" s="73"/>
      <c r="F225" s="73"/>
      <c r="G225" s="73"/>
    </row>
    <row r="226" ht="15.75" customHeight="1">
      <c r="B226" s="73"/>
      <c r="C226" s="73"/>
      <c r="D226" s="73"/>
      <c r="E226" s="73"/>
      <c r="F226" s="73"/>
      <c r="G226" s="73"/>
    </row>
    <row r="227" ht="15.75" customHeight="1">
      <c r="B227" s="73"/>
      <c r="C227" s="73"/>
      <c r="D227" s="73"/>
      <c r="E227" s="73"/>
      <c r="F227" s="73"/>
      <c r="G227" s="73"/>
    </row>
    <row r="228" ht="15.75" customHeight="1">
      <c r="B228" s="73"/>
      <c r="C228" s="73"/>
      <c r="D228" s="73"/>
      <c r="E228" s="73"/>
      <c r="F228" s="73"/>
      <c r="G228" s="73"/>
    </row>
    <row r="229" ht="15.75" customHeight="1">
      <c r="B229" s="73"/>
      <c r="C229" s="73"/>
      <c r="D229" s="73"/>
      <c r="E229" s="73"/>
      <c r="F229" s="73"/>
      <c r="G229" s="73"/>
    </row>
    <row r="230" ht="15.75" customHeight="1">
      <c r="B230" s="73"/>
      <c r="C230" s="73"/>
      <c r="D230" s="73"/>
      <c r="E230" s="73"/>
      <c r="F230" s="73"/>
      <c r="G230" s="73"/>
    </row>
    <row r="231" ht="15.75" customHeight="1">
      <c r="B231" s="73"/>
      <c r="C231" s="73"/>
      <c r="D231" s="73"/>
      <c r="E231" s="73"/>
      <c r="F231" s="73"/>
      <c r="G231" s="73"/>
    </row>
    <row r="232" ht="15.75" customHeight="1">
      <c r="B232" s="73"/>
      <c r="C232" s="73"/>
      <c r="D232" s="73"/>
      <c r="E232" s="73"/>
      <c r="F232" s="73"/>
      <c r="G232" s="73"/>
    </row>
    <row r="233" ht="15.75" customHeight="1">
      <c r="B233" s="73"/>
      <c r="C233" s="73"/>
      <c r="D233" s="73"/>
      <c r="E233" s="73"/>
      <c r="F233" s="73"/>
      <c r="G233" s="73"/>
    </row>
    <row r="234" ht="15.75" customHeight="1">
      <c r="B234" s="73"/>
      <c r="C234" s="73"/>
      <c r="D234" s="73"/>
      <c r="E234" s="73"/>
      <c r="F234" s="73"/>
      <c r="G234" s="73"/>
    </row>
    <row r="235" ht="15.75" customHeight="1">
      <c r="B235" s="73"/>
      <c r="C235" s="73"/>
      <c r="D235" s="73"/>
      <c r="E235" s="73"/>
      <c r="F235" s="73"/>
      <c r="G235" s="73"/>
    </row>
    <row r="236" ht="15.75" customHeight="1">
      <c r="B236" s="73"/>
      <c r="C236" s="73"/>
      <c r="D236" s="73"/>
      <c r="E236" s="73"/>
      <c r="F236" s="73"/>
      <c r="G236" s="73"/>
    </row>
    <row r="237" ht="15.75" customHeight="1">
      <c r="B237" s="73"/>
      <c r="C237" s="73"/>
      <c r="D237" s="73"/>
      <c r="E237" s="73"/>
      <c r="F237" s="73"/>
      <c r="G237" s="73"/>
    </row>
    <row r="238" ht="15.75" customHeight="1">
      <c r="B238" s="73"/>
      <c r="C238" s="73"/>
      <c r="D238" s="73"/>
      <c r="E238" s="73"/>
      <c r="F238" s="73"/>
      <c r="G238" s="73"/>
    </row>
    <row r="239" ht="15.75" customHeight="1">
      <c r="B239" s="73"/>
      <c r="C239" s="73"/>
      <c r="D239" s="73"/>
      <c r="E239" s="73"/>
      <c r="F239" s="73"/>
      <c r="G239" s="73"/>
    </row>
    <row r="240" ht="15.75" customHeight="1">
      <c r="B240" s="73"/>
      <c r="C240" s="73"/>
      <c r="D240" s="73"/>
      <c r="E240" s="73"/>
      <c r="F240" s="73"/>
      <c r="G240" s="73"/>
    </row>
    <row r="241" ht="15.75" customHeight="1">
      <c r="B241" s="73"/>
      <c r="C241" s="73"/>
      <c r="D241" s="73"/>
      <c r="E241" s="73"/>
      <c r="F241" s="73"/>
      <c r="G241" s="73"/>
    </row>
    <row r="242" ht="15.75" customHeight="1">
      <c r="B242" s="73"/>
      <c r="C242" s="73"/>
      <c r="D242" s="73"/>
      <c r="E242" s="73"/>
      <c r="F242" s="73"/>
      <c r="G242" s="73"/>
    </row>
    <row r="243" ht="15.75" customHeight="1">
      <c r="B243" s="73"/>
      <c r="C243" s="73"/>
      <c r="D243" s="73"/>
      <c r="E243" s="73"/>
      <c r="F243" s="73"/>
      <c r="G243" s="73"/>
    </row>
    <row r="244" ht="15.75" customHeight="1">
      <c r="B244" s="73"/>
      <c r="C244" s="73"/>
      <c r="D244" s="73"/>
      <c r="E244" s="73"/>
      <c r="F244" s="73"/>
      <c r="G244" s="73"/>
    </row>
    <row r="245" ht="15.75" customHeight="1">
      <c r="B245" s="73"/>
      <c r="C245" s="73"/>
      <c r="D245" s="73"/>
      <c r="E245" s="73"/>
      <c r="F245" s="73"/>
      <c r="G245" s="73"/>
    </row>
    <row r="246" ht="15.75" customHeight="1">
      <c r="B246" s="73"/>
      <c r="C246" s="73"/>
      <c r="D246" s="73"/>
      <c r="E246" s="73"/>
      <c r="F246" s="73"/>
      <c r="G246" s="73"/>
    </row>
    <row r="247" ht="15.75" customHeight="1">
      <c r="B247" s="73"/>
      <c r="C247" s="73"/>
      <c r="D247" s="73"/>
      <c r="E247" s="73"/>
      <c r="F247" s="73"/>
      <c r="G247" s="73"/>
    </row>
    <row r="248" ht="15.75" customHeight="1">
      <c r="B248" s="73"/>
      <c r="C248" s="73"/>
      <c r="D248" s="73"/>
      <c r="E248" s="73"/>
      <c r="F248" s="73"/>
      <c r="G248" s="73"/>
    </row>
    <row r="249" ht="15.75" customHeight="1">
      <c r="B249" s="73"/>
      <c r="C249" s="73"/>
      <c r="D249" s="73"/>
      <c r="E249" s="73"/>
      <c r="F249" s="73"/>
      <c r="G249" s="73"/>
    </row>
    <row r="250" ht="15.75" customHeight="1">
      <c r="B250" s="73"/>
      <c r="C250" s="73"/>
      <c r="D250" s="73"/>
      <c r="E250" s="73"/>
      <c r="F250" s="73"/>
      <c r="G250" s="73"/>
    </row>
    <row r="251" ht="15.75" customHeight="1">
      <c r="B251" s="73"/>
      <c r="C251" s="73"/>
      <c r="D251" s="73"/>
      <c r="E251" s="73"/>
      <c r="F251" s="73"/>
      <c r="G251" s="73"/>
    </row>
    <row r="252" ht="15.75" customHeight="1">
      <c r="B252" s="73"/>
      <c r="C252" s="73"/>
      <c r="D252" s="73"/>
      <c r="E252" s="73"/>
      <c r="F252" s="73"/>
      <c r="G252" s="73"/>
    </row>
    <row r="253" ht="15.75" customHeight="1">
      <c r="B253" s="73"/>
      <c r="C253" s="73"/>
      <c r="D253" s="73"/>
      <c r="E253" s="73"/>
      <c r="F253" s="73"/>
      <c r="G253" s="73"/>
    </row>
    <row r="254" ht="15.75" customHeight="1">
      <c r="B254" s="73"/>
      <c r="C254" s="73"/>
      <c r="D254" s="73"/>
      <c r="E254" s="73"/>
      <c r="F254" s="73"/>
      <c r="G254" s="73"/>
    </row>
    <row r="255" ht="15.75" customHeight="1">
      <c r="B255" s="73"/>
      <c r="C255" s="73"/>
      <c r="D255" s="73"/>
      <c r="E255" s="73"/>
      <c r="F255" s="73"/>
      <c r="G255" s="73"/>
    </row>
    <row r="256" ht="15.75" customHeight="1">
      <c r="B256" s="73"/>
      <c r="C256" s="73"/>
      <c r="D256" s="73"/>
      <c r="E256" s="73"/>
      <c r="F256" s="73"/>
      <c r="G256" s="73"/>
    </row>
    <row r="257" ht="15.75" customHeight="1">
      <c r="B257" s="73"/>
      <c r="C257" s="73"/>
      <c r="D257" s="73"/>
      <c r="E257" s="73"/>
      <c r="F257" s="73"/>
      <c r="G257" s="73"/>
    </row>
    <row r="258" ht="15.75" customHeight="1">
      <c r="B258" s="73"/>
      <c r="C258" s="73"/>
      <c r="D258" s="73"/>
      <c r="E258" s="73"/>
      <c r="F258" s="73"/>
      <c r="G258" s="73"/>
    </row>
    <row r="259" ht="15.75" customHeight="1">
      <c r="B259" s="73"/>
      <c r="C259" s="73"/>
      <c r="D259" s="73"/>
      <c r="E259" s="73"/>
      <c r="F259" s="73"/>
      <c r="G259" s="73"/>
    </row>
    <row r="260" ht="15.75" customHeight="1">
      <c r="B260" s="73"/>
      <c r="C260" s="73"/>
      <c r="D260" s="73"/>
      <c r="E260" s="73"/>
      <c r="F260" s="73"/>
      <c r="G260" s="73"/>
    </row>
    <row r="261" ht="15.75" customHeight="1">
      <c r="B261" s="73"/>
      <c r="C261" s="73"/>
      <c r="D261" s="73"/>
      <c r="E261" s="73"/>
      <c r="F261" s="73"/>
      <c r="G261" s="73"/>
    </row>
    <row r="262" ht="15.75" customHeight="1">
      <c r="B262" s="73"/>
      <c r="C262" s="73"/>
      <c r="D262" s="73"/>
      <c r="E262" s="73"/>
      <c r="F262" s="73"/>
      <c r="G262" s="73"/>
    </row>
    <row r="263" ht="15.75" customHeight="1">
      <c r="B263" s="73"/>
      <c r="C263" s="73"/>
      <c r="D263" s="73"/>
      <c r="E263" s="73"/>
      <c r="F263" s="73"/>
      <c r="G263" s="73"/>
    </row>
    <row r="264" ht="15.75" customHeight="1">
      <c r="B264" s="73"/>
      <c r="C264" s="73"/>
      <c r="D264" s="73"/>
      <c r="E264" s="73"/>
      <c r="F264" s="73"/>
      <c r="G264" s="73"/>
    </row>
    <row r="265" ht="15.75" customHeight="1">
      <c r="B265" s="73"/>
      <c r="C265" s="73"/>
      <c r="D265" s="73"/>
      <c r="E265" s="73"/>
      <c r="F265" s="73"/>
      <c r="G265" s="73"/>
    </row>
    <row r="266" ht="15.75" customHeight="1">
      <c r="B266" s="73"/>
      <c r="C266" s="73"/>
      <c r="D266" s="73"/>
      <c r="E266" s="73"/>
      <c r="F266" s="73"/>
      <c r="G266" s="73"/>
    </row>
    <row r="267" ht="15.75" customHeight="1">
      <c r="B267" s="73"/>
      <c r="C267" s="73"/>
      <c r="D267" s="73"/>
      <c r="E267" s="73"/>
      <c r="F267" s="73"/>
      <c r="G267" s="73"/>
    </row>
    <row r="268" ht="15.75" customHeight="1">
      <c r="B268" s="73"/>
      <c r="C268" s="73"/>
      <c r="D268" s="73"/>
      <c r="E268" s="73"/>
      <c r="F268" s="73"/>
      <c r="G268" s="73"/>
    </row>
    <row r="269" ht="15.75" customHeight="1">
      <c r="B269" s="73"/>
      <c r="C269" s="73"/>
      <c r="D269" s="73"/>
      <c r="E269" s="73"/>
      <c r="F269" s="73"/>
      <c r="G269" s="73"/>
    </row>
    <row r="270" ht="15.75" customHeight="1">
      <c r="B270" s="73"/>
      <c r="C270" s="73"/>
      <c r="D270" s="73"/>
      <c r="E270" s="73"/>
      <c r="F270" s="73"/>
      <c r="G270" s="73"/>
    </row>
    <row r="271" ht="15.75" customHeight="1">
      <c r="B271" s="73"/>
      <c r="C271" s="73"/>
      <c r="D271" s="73"/>
      <c r="E271" s="73"/>
      <c r="F271" s="73"/>
      <c r="G271" s="73"/>
    </row>
    <row r="272" ht="15.75" customHeight="1">
      <c r="B272" s="73"/>
      <c r="C272" s="73"/>
      <c r="D272" s="73"/>
      <c r="E272" s="73"/>
      <c r="F272" s="73"/>
      <c r="G272" s="73"/>
    </row>
    <row r="273" ht="15.75" customHeight="1">
      <c r="B273" s="73"/>
      <c r="C273" s="73"/>
      <c r="D273" s="73"/>
      <c r="E273" s="73"/>
      <c r="F273" s="73"/>
      <c r="G273" s="73"/>
    </row>
    <row r="274" ht="15.75" customHeight="1">
      <c r="B274" s="73"/>
      <c r="C274" s="73"/>
      <c r="D274" s="73"/>
      <c r="E274" s="73"/>
      <c r="F274" s="73"/>
      <c r="G274" s="73"/>
    </row>
    <row r="275" ht="15.75" customHeight="1">
      <c r="B275" s="73"/>
      <c r="C275" s="73"/>
      <c r="D275" s="73"/>
      <c r="E275" s="73"/>
      <c r="F275" s="73"/>
      <c r="G275" s="73"/>
    </row>
    <row r="276" ht="15.75" customHeight="1">
      <c r="B276" s="73"/>
      <c r="C276" s="73"/>
      <c r="D276" s="73"/>
      <c r="E276" s="73"/>
      <c r="F276" s="73"/>
      <c r="G276" s="73"/>
    </row>
    <row r="277" ht="15.75" customHeight="1">
      <c r="B277" s="73"/>
      <c r="C277" s="73"/>
      <c r="D277" s="73"/>
      <c r="E277" s="73"/>
      <c r="F277" s="73"/>
      <c r="G277" s="73"/>
    </row>
    <row r="278" ht="15.75" customHeight="1">
      <c r="B278" s="73"/>
      <c r="C278" s="73"/>
      <c r="D278" s="73"/>
      <c r="E278" s="73"/>
      <c r="F278" s="73"/>
      <c r="G278" s="73"/>
    </row>
    <row r="279" ht="15.75" customHeight="1">
      <c r="B279" s="73"/>
      <c r="C279" s="73"/>
      <c r="D279" s="73"/>
      <c r="E279" s="73"/>
      <c r="F279" s="73"/>
      <c r="G279" s="73"/>
    </row>
    <row r="280" ht="15.75" customHeight="1">
      <c r="B280" s="73"/>
      <c r="C280" s="73"/>
      <c r="D280" s="73"/>
      <c r="E280" s="73"/>
      <c r="F280" s="73"/>
      <c r="G280" s="73"/>
    </row>
    <row r="281" ht="15.75" customHeight="1">
      <c r="B281" s="73"/>
      <c r="C281" s="73"/>
      <c r="D281" s="73"/>
      <c r="E281" s="73"/>
      <c r="F281" s="73"/>
      <c r="G281" s="73"/>
    </row>
    <row r="282" ht="15.75" customHeight="1">
      <c r="B282" s="73"/>
      <c r="C282" s="73"/>
      <c r="D282" s="73"/>
      <c r="E282" s="73"/>
      <c r="F282" s="73"/>
      <c r="G282" s="73"/>
    </row>
    <row r="283" ht="15.75" customHeight="1">
      <c r="B283" s="73"/>
      <c r="C283" s="73"/>
      <c r="D283" s="73"/>
      <c r="E283" s="73"/>
      <c r="F283" s="73"/>
      <c r="G283" s="73"/>
    </row>
    <row r="284" ht="15.75" customHeight="1">
      <c r="B284" s="73"/>
      <c r="C284" s="73"/>
      <c r="D284" s="73"/>
      <c r="E284" s="73"/>
      <c r="F284" s="73"/>
      <c r="G284" s="73"/>
    </row>
    <row r="285" ht="15.75" customHeight="1">
      <c r="B285" s="73"/>
      <c r="C285" s="73"/>
      <c r="D285" s="73"/>
      <c r="E285" s="73"/>
      <c r="F285" s="73"/>
      <c r="G285" s="73"/>
    </row>
    <row r="286" ht="15.75" customHeight="1">
      <c r="B286" s="73"/>
      <c r="C286" s="73"/>
      <c r="D286" s="73"/>
      <c r="E286" s="73"/>
      <c r="F286" s="73"/>
      <c r="G286" s="73"/>
    </row>
    <row r="287" ht="15.75" customHeight="1">
      <c r="B287" s="73"/>
      <c r="C287" s="73"/>
      <c r="D287" s="73"/>
      <c r="E287" s="73"/>
      <c r="F287" s="73"/>
      <c r="G287" s="73"/>
    </row>
    <row r="288" ht="15.75" customHeight="1">
      <c r="B288" s="73"/>
      <c r="C288" s="73"/>
      <c r="D288" s="73"/>
      <c r="E288" s="73"/>
      <c r="F288" s="73"/>
      <c r="G288" s="73"/>
    </row>
    <row r="289" ht="15.75" customHeight="1">
      <c r="B289" s="73"/>
      <c r="C289" s="73"/>
      <c r="D289" s="73"/>
      <c r="E289" s="73"/>
      <c r="F289" s="73"/>
      <c r="G289" s="73"/>
    </row>
    <row r="290" ht="15.75" customHeight="1">
      <c r="B290" s="73"/>
      <c r="C290" s="73"/>
      <c r="D290" s="73"/>
      <c r="E290" s="73"/>
      <c r="F290" s="73"/>
      <c r="G290" s="73"/>
    </row>
    <row r="291" ht="15.75" customHeight="1">
      <c r="B291" s="73"/>
      <c r="C291" s="73"/>
      <c r="D291" s="73"/>
      <c r="E291" s="73"/>
      <c r="F291" s="73"/>
      <c r="G291" s="73"/>
    </row>
    <row r="292" ht="15.75" customHeight="1">
      <c r="B292" s="73"/>
      <c r="C292" s="73"/>
      <c r="D292" s="73"/>
      <c r="E292" s="73"/>
      <c r="F292" s="73"/>
      <c r="G292" s="73"/>
    </row>
    <row r="293" ht="15.75" customHeight="1">
      <c r="B293" s="73"/>
      <c r="C293" s="73"/>
      <c r="D293" s="73"/>
      <c r="E293" s="73"/>
      <c r="F293" s="73"/>
      <c r="G293" s="73"/>
    </row>
    <row r="294" ht="15.75" customHeight="1">
      <c r="B294" s="73"/>
      <c r="C294" s="73"/>
      <c r="D294" s="73"/>
      <c r="E294" s="73"/>
      <c r="F294" s="73"/>
      <c r="G294" s="73"/>
    </row>
    <row r="295" ht="15.75" customHeight="1">
      <c r="B295" s="73"/>
      <c r="C295" s="73"/>
      <c r="D295" s="73"/>
      <c r="E295" s="73"/>
      <c r="F295" s="73"/>
      <c r="G295" s="73"/>
    </row>
    <row r="296" ht="15.75" customHeight="1">
      <c r="B296" s="73"/>
      <c r="C296" s="73"/>
      <c r="D296" s="73"/>
      <c r="E296" s="73"/>
      <c r="F296" s="73"/>
      <c r="G296" s="73"/>
    </row>
    <row r="297" ht="15.75" customHeight="1">
      <c r="B297" s="73"/>
      <c r="C297" s="73"/>
      <c r="D297" s="73"/>
      <c r="E297" s="73"/>
      <c r="F297" s="73"/>
      <c r="G297" s="73"/>
    </row>
    <row r="298" ht="15.75" customHeight="1">
      <c r="B298" s="73"/>
      <c r="C298" s="73"/>
      <c r="D298" s="73"/>
      <c r="E298" s="73"/>
      <c r="F298" s="73"/>
      <c r="G298" s="73"/>
    </row>
    <row r="299" ht="15.75" customHeight="1">
      <c r="B299" s="73"/>
      <c r="C299" s="73"/>
      <c r="D299" s="73"/>
      <c r="E299" s="73"/>
      <c r="F299" s="73"/>
      <c r="G299" s="73"/>
    </row>
    <row r="300" ht="15.75" customHeight="1">
      <c r="B300" s="73"/>
      <c r="C300" s="73"/>
      <c r="D300" s="73"/>
      <c r="E300" s="73"/>
      <c r="F300" s="73"/>
      <c r="G300" s="73"/>
    </row>
    <row r="301" ht="15.75" customHeight="1">
      <c r="B301" s="73"/>
      <c r="C301" s="73"/>
      <c r="D301" s="73"/>
      <c r="E301" s="73"/>
      <c r="F301" s="73"/>
      <c r="G301" s="73"/>
    </row>
    <row r="302" ht="15.75" customHeight="1">
      <c r="B302" s="73"/>
      <c r="C302" s="73"/>
      <c r="D302" s="73"/>
      <c r="E302" s="73"/>
      <c r="F302" s="73"/>
      <c r="G302" s="73"/>
    </row>
    <row r="303" ht="15.75" customHeight="1">
      <c r="B303" s="73"/>
      <c r="C303" s="73"/>
      <c r="D303" s="73"/>
      <c r="E303" s="73"/>
      <c r="F303" s="73"/>
      <c r="G303" s="73"/>
    </row>
    <row r="304" ht="15.75" customHeight="1">
      <c r="B304" s="73"/>
      <c r="C304" s="73"/>
      <c r="D304" s="73"/>
      <c r="E304" s="73"/>
      <c r="F304" s="73"/>
      <c r="G304" s="73"/>
    </row>
    <row r="305" ht="15.75" customHeight="1">
      <c r="B305" s="73"/>
      <c r="C305" s="73"/>
      <c r="D305" s="73"/>
      <c r="E305" s="73"/>
      <c r="F305" s="73"/>
      <c r="G305" s="73"/>
    </row>
    <row r="306" ht="15.75" customHeight="1">
      <c r="B306" s="73"/>
      <c r="C306" s="73"/>
      <c r="D306" s="73"/>
      <c r="E306" s="73"/>
      <c r="F306" s="73"/>
      <c r="G306" s="73"/>
    </row>
    <row r="307" ht="15.75" customHeight="1">
      <c r="B307" s="73"/>
      <c r="C307" s="73"/>
      <c r="D307" s="73"/>
      <c r="E307" s="73"/>
      <c r="F307" s="73"/>
      <c r="G307" s="73"/>
    </row>
    <row r="308" ht="15.75" customHeight="1">
      <c r="B308" s="73"/>
      <c r="C308" s="73"/>
      <c r="D308" s="73"/>
      <c r="E308" s="73"/>
      <c r="F308" s="73"/>
      <c r="G308" s="73"/>
    </row>
    <row r="309" ht="15.75" customHeight="1">
      <c r="B309" s="73"/>
      <c r="C309" s="73"/>
      <c r="D309" s="73"/>
      <c r="E309" s="73"/>
      <c r="F309" s="73"/>
      <c r="G309" s="73"/>
    </row>
    <row r="310" ht="15.75" customHeight="1">
      <c r="B310" s="73"/>
      <c r="C310" s="73"/>
      <c r="D310" s="73"/>
      <c r="E310" s="73"/>
      <c r="F310" s="73"/>
      <c r="G310" s="73"/>
    </row>
    <row r="311" ht="15.75" customHeight="1">
      <c r="B311" s="73"/>
      <c r="C311" s="73"/>
      <c r="D311" s="73"/>
      <c r="E311" s="73"/>
      <c r="F311" s="73"/>
      <c r="G311" s="73"/>
    </row>
    <row r="312" ht="15.75" customHeight="1">
      <c r="B312" s="73"/>
      <c r="C312" s="73"/>
      <c r="D312" s="73"/>
      <c r="E312" s="73"/>
      <c r="F312" s="73"/>
      <c r="G312" s="73"/>
    </row>
    <row r="313" ht="15.75" customHeight="1">
      <c r="B313" s="73"/>
      <c r="C313" s="73"/>
      <c r="D313" s="73"/>
      <c r="E313" s="73"/>
      <c r="F313" s="73"/>
      <c r="G313" s="73"/>
    </row>
    <row r="314" ht="15.75" customHeight="1">
      <c r="B314" s="73"/>
      <c r="C314" s="73"/>
      <c r="D314" s="73"/>
      <c r="E314" s="73"/>
      <c r="F314" s="73"/>
      <c r="G314" s="73"/>
    </row>
    <row r="315" ht="15.75" customHeight="1">
      <c r="B315" s="73"/>
      <c r="C315" s="73"/>
      <c r="D315" s="73"/>
      <c r="E315" s="73"/>
      <c r="F315" s="73"/>
      <c r="G315" s="73"/>
    </row>
    <row r="316" ht="15.75" customHeight="1">
      <c r="B316" s="73"/>
      <c r="C316" s="73"/>
      <c r="D316" s="73"/>
      <c r="E316" s="73"/>
      <c r="F316" s="73"/>
      <c r="G316" s="73"/>
    </row>
    <row r="317" ht="15.75" customHeight="1">
      <c r="B317" s="73"/>
      <c r="C317" s="73"/>
      <c r="D317" s="73"/>
      <c r="E317" s="73"/>
      <c r="F317" s="73"/>
      <c r="G317" s="73"/>
    </row>
    <row r="318" ht="15.75" customHeight="1">
      <c r="B318" s="73"/>
      <c r="C318" s="73"/>
      <c r="D318" s="73"/>
      <c r="E318" s="73"/>
      <c r="F318" s="73"/>
      <c r="G318" s="73"/>
    </row>
    <row r="319" ht="15.75" customHeight="1">
      <c r="B319" s="73"/>
      <c r="C319" s="73"/>
      <c r="D319" s="73"/>
      <c r="E319" s="73"/>
      <c r="F319" s="73"/>
      <c r="G319" s="73"/>
    </row>
    <row r="320" ht="15.75" customHeight="1">
      <c r="B320" s="73"/>
      <c r="C320" s="73"/>
      <c r="D320" s="73"/>
      <c r="E320" s="73"/>
      <c r="F320" s="73"/>
      <c r="G320" s="73"/>
    </row>
    <row r="321" ht="15.75" customHeight="1">
      <c r="B321" s="73"/>
      <c r="C321" s="73"/>
      <c r="D321" s="73"/>
      <c r="E321" s="73"/>
      <c r="F321" s="73"/>
      <c r="G321" s="73"/>
    </row>
    <row r="322" ht="15.75" customHeight="1">
      <c r="B322" s="73"/>
      <c r="C322" s="73"/>
      <c r="D322" s="73"/>
      <c r="E322" s="73"/>
      <c r="F322" s="73"/>
      <c r="G322" s="73"/>
    </row>
    <row r="323" ht="15.75" customHeight="1">
      <c r="B323" s="73"/>
      <c r="C323" s="73"/>
      <c r="D323" s="73"/>
      <c r="E323" s="73"/>
      <c r="F323" s="73"/>
      <c r="G323" s="73"/>
    </row>
    <row r="324" ht="15.75" customHeight="1">
      <c r="B324" s="73"/>
      <c r="C324" s="73"/>
      <c r="D324" s="73"/>
      <c r="E324" s="73"/>
      <c r="F324" s="73"/>
      <c r="G324" s="73"/>
    </row>
    <row r="325" ht="15.75" customHeight="1">
      <c r="B325" s="73"/>
      <c r="C325" s="73"/>
      <c r="D325" s="73"/>
      <c r="E325" s="73"/>
      <c r="F325" s="73"/>
      <c r="G325" s="73"/>
    </row>
    <row r="326" ht="15.75" customHeight="1">
      <c r="B326" s="73"/>
      <c r="C326" s="73"/>
      <c r="D326" s="73"/>
      <c r="E326" s="73"/>
      <c r="F326" s="73"/>
      <c r="G326" s="73"/>
    </row>
    <row r="327" ht="15.75" customHeight="1">
      <c r="B327" s="73"/>
      <c r="C327" s="73"/>
      <c r="D327" s="73"/>
      <c r="E327" s="73"/>
      <c r="F327" s="73"/>
      <c r="G327" s="73"/>
    </row>
    <row r="328" ht="15.75" customHeight="1">
      <c r="B328" s="73"/>
      <c r="C328" s="73"/>
      <c r="D328" s="73"/>
      <c r="E328" s="73"/>
      <c r="F328" s="73"/>
      <c r="G328" s="73"/>
    </row>
    <row r="329" ht="15.75" customHeight="1">
      <c r="B329" s="73"/>
      <c r="C329" s="73"/>
      <c r="D329" s="73"/>
      <c r="E329" s="73"/>
      <c r="F329" s="73"/>
      <c r="G329" s="73"/>
    </row>
    <row r="330" ht="15.75" customHeight="1">
      <c r="B330" s="73"/>
      <c r="C330" s="73"/>
      <c r="D330" s="73"/>
      <c r="E330" s="73"/>
      <c r="F330" s="73"/>
      <c r="G330" s="73"/>
    </row>
    <row r="331" ht="15.75" customHeight="1">
      <c r="B331" s="73"/>
      <c r="C331" s="73"/>
      <c r="D331" s="73"/>
      <c r="E331" s="73"/>
      <c r="F331" s="73"/>
      <c r="G331" s="73"/>
    </row>
    <row r="332" ht="15.75" customHeight="1">
      <c r="B332" s="73"/>
      <c r="C332" s="73"/>
      <c r="D332" s="73"/>
      <c r="E332" s="73"/>
      <c r="F332" s="73"/>
      <c r="G332" s="73"/>
    </row>
    <row r="333" ht="15.75" customHeight="1">
      <c r="B333" s="73"/>
      <c r="C333" s="73"/>
      <c r="D333" s="73"/>
      <c r="E333" s="73"/>
      <c r="F333" s="73"/>
      <c r="G333" s="73"/>
    </row>
    <row r="334" ht="15.75" customHeight="1">
      <c r="B334" s="73"/>
      <c r="C334" s="73"/>
      <c r="D334" s="73"/>
      <c r="E334" s="73"/>
      <c r="F334" s="73"/>
      <c r="G334" s="73"/>
    </row>
    <row r="335" ht="15.75" customHeight="1">
      <c r="B335" s="73"/>
      <c r="C335" s="73"/>
      <c r="D335" s="73"/>
      <c r="E335" s="73"/>
      <c r="F335" s="73"/>
      <c r="G335" s="73"/>
    </row>
    <row r="336" ht="15.75" customHeight="1">
      <c r="B336" s="73"/>
      <c r="C336" s="73"/>
      <c r="D336" s="73"/>
      <c r="E336" s="73"/>
      <c r="F336" s="73"/>
      <c r="G336" s="73"/>
    </row>
    <row r="337" ht="15.75" customHeight="1">
      <c r="B337" s="73"/>
      <c r="C337" s="73"/>
      <c r="D337" s="73"/>
      <c r="E337" s="73"/>
      <c r="F337" s="73"/>
      <c r="G337" s="73"/>
    </row>
    <row r="338" ht="15.75" customHeight="1">
      <c r="B338" s="73"/>
      <c r="C338" s="73"/>
      <c r="D338" s="73"/>
      <c r="E338" s="73"/>
      <c r="F338" s="73"/>
      <c r="G338" s="73"/>
    </row>
    <row r="339" ht="15.75" customHeight="1">
      <c r="B339" s="73"/>
      <c r="C339" s="73"/>
      <c r="D339" s="73"/>
      <c r="E339" s="73"/>
      <c r="F339" s="73"/>
      <c r="G339" s="73"/>
    </row>
    <row r="340" ht="15.75" customHeight="1">
      <c r="B340" s="73"/>
      <c r="C340" s="73"/>
      <c r="D340" s="73"/>
      <c r="E340" s="73"/>
      <c r="F340" s="73"/>
      <c r="G340" s="73"/>
    </row>
    <row r="341" ht="15.75" customHeight="1">
      <c r="B341" s="73"/>
      <c r="C341" s="73"/>
      <c r="D341" s="73"/>
      <c r="E341" s="73"/>
      <c r="F341" s="73"/>
      <c r="G341" s="73"/>
    </row>
    <row r="342" ht="15.75" customHeight="1">
      <c r="B342" s="73"/>
      <c r="C342" s="73"/>
      <c r="D342" s="73"/>
      <c r="E342" s="73"/>
      <c r="F342" s="73"/>
      <c r="G342" s="73"/>
    </row>
    <row r="343" ht="15.75" customHeight="1">
      <c r="B343" s="73"/>
      <c r="C343" s="73"/>
      <c r="D343" s="73"/>
      <c r="E343" s="73"/>
      <c r="F343" s="73"/>
      <c r="G343" s="73"/>
    </row>
    <row r="344" ht="15.75" customHeight="1">
      <c r="B344" s="73"/>
      <c r="C344" s="73"/>
      <c r="D344" s="73"/>
      <c r="E344" s="73"/>
      <c r="F344" s="73"/>
      <c r="G344" s="73"/>
    </row>
    <row r="345" ht="15.75" customHeight="1">
      <c r="B345" s="73"/>
      <c r="C345" s="73"/>
      <c r="D345" s="73"/>
      <c r="E345" s="73"/>
      <c r="F345" s="73"/>
      <c r="G345" s="73"/>
    </row>
    <row r="346" ht="15.75" customHeight="1">
      <c r="B346" s="73"/>
      <c r="C346" s="73"/>
      <c r="D346" s="73"/>
      <c r="E346" s="73"/>
      <c r="F346" s="73"/>
      <c r="G346" s="73"/>
    </row>
    <row r="347" ht="15.75" customHeight="1">
      <c r="B347" s="73"/>
      <c r="C347" s="73"/>
      <c r="D347" s="73"/>
      <c r="E347" s="73"/>
      <c r="F347" s="73"/>
      <c r="G347" s="73"/>
    </row>
    <row r="348" ht="15.75" customHeight="1">
      <c r="B348" s="73"/>
      <c r="C348" s="73"/>
      <c r="D348" s="73"/>
      <c r="E348" s="73"/>
      <c r="F348" s="73"/>
      <c r="G348" s="73"/>
    </row>
    <row r="349" ht="15.75" customHeight="1">
      <c r="B349" s="73"/>
      <c r="C349" s="73"/>
      <c r="D349" s="73"/>
      <c r="E349" s="73"/>
      <c r="F349" s="73"/>
      <c r="G349" s="73"/>
    </row>
    <row r="350" ht="15.75" customHeight="1">
      <c r="B350" s="73"/>
      <c r="C350" s="73"/>
      <c r="D350" s="73"/>
      <c r="E350" s="73"/>
      <c r="F350" s="73"/>
      <c r="G350" s="73"/>
    </row>
    <row r="351" ht="15.75" customHeight="1">
      <c r="B351" s="73"/>
      <c r="C351" s="73"/>
      <c r="D351" s="73"/>
      <c r="E351" s="73"/>
      <c r="F351" s="73"/>
      <c r="G351" s="73"/>
    </row>
    <row r="352" ht="15.75" customHeight="1">
      <c r="B352" s="73"/>
      <c r="C352" s="73"/>
      <c r="D352" s="73"/>
      <c r="E352" s="73"/>
      <c r="F352" s="73"/>
      <c r="G352" s="73"/>
    </row>
    <row r="353" ht="15.75" customHeight="1">
      <c r="B353" s="73"/>
      <c r="C353" s="73"/>
      <c r="D353" s="73"/>
      <c r="E353" s="73"/>
      <c r="F353" s="73"/>
      <c r="G353" s="73"/>
    </row>
    <row r="354" ht="15.75" customHeight="1">
      <c r="B354" s="73"/>
      <c r="C354" s="73"/>
      <c r="D354" s="73"/>
      <c r="E354" s="73"/>
      <c r="F354" s="73"/>
      <c r="G354" s="73"/>
    </row>
    <row r="355" ht="15.75" customHeight="1">
      <c r="B355" s="73"/>
      <c r="C355" s="73"/>
      <c r="D355" s="73"/>
      <c r="E355" s="73"/>
      <c r="F355" s="73"/>
      <c r="G355" s="73"/>
    </row>
    <row r="356" ht="15.75" customHeight="1">
      <c r="B356" s="73"/>
      <c r="C356" s="73"/>
      <c r="D356" s="73"/>
      <c r="E356" s="73"/>
      <c r="F356" s="73"/>
      <c r="G356" s="73"/>
    </row>
    <row r="357" ht="15.75" customHeight="1">
      <c r="B357" s="73"/>
      <c r="C357" s="73"/>
      <c r="D357" s="73"/>
      <c r="E357" s="73"/>
      <c r="F357" s="73"/>
      <c r="G357" s="73"/>
    </row>
    <row r="358" ht="15.75" customHeight="1">
      <c r="B358" s="73"/>
      <c r="C358" s="73"/>
      <c r="D358" s="73"/>
      <c r="E358" s="73"/>
      <c r="F358" s="73"/>
      <c r="G358" s="73"/>
    </row>
    <row r="359" ht="15.75" customHeight="1">
      <c r="B359" s="73"/>
      <c r="C359" s="73"/>
      <c r="D359" s="73"/>
      <c r="E359" s="73"/>
      <c r="F359" s="73"/>
      <c r="G359" s="73"/>
    </row>
    <row r="360" ht="15.75" customHeight="1">
      <c r="B360" s="73"/>
      <c r="C360" s="73"/>
      <c r="D360" s="73"/>
      <c r="E360" s="73"/>
      <c r="F360" s="73"/>
      <c r="G360" s="73"/>
    </row>
    <row r="361" ht="15.75" customHeight="1">
      <c r="B361" s="73"/>
      <c r="C361" s="73"/>
      <c r="D361" s="73"/>
      <c r="E361" s="73"/>
      <c r="F361" s="73"/>
      <c r="G361" s="73"/>
    </row>
    <row r="362" ht="15.75" customHeight="1">
      <c r="B362" s="73"/>
      <c r="C362" s="73"/>
      <c r="D362" s="73"/>
      <c r="E362" s="73"/>
      <c r="F362" s="73"/>
      <c r="G362" s="73"/>
    </row>
    <row r="363" ht="15.75" customHeight="1">
      <c r="B363" s="73"/>
      <c r="C363" s="73"/>
      <c r="D363" s="73"/>
      <c r="E363" s="73"/>
      <c r="F363" s="73"/>
      <c r="G363" s="73"/>
    </row>
    <row r="364" ht="15.75" customHeight="1">
      <c r="B364" s="73"/>
      <c r="C364" s="73"/>
      <c r="D364" s="73"/>
      <c r="E364" s="73"/>
      <c r="F364" s="73"/>
      <c r="G364" s="73"/>
    </row>
    <row r="365" ht="15.75" customHeight="1">
      <c r="B365" s="73"/>
      <c r="C365" s="73"/>
      <c r="D365" s="73"/>
      <c r="E365" s="73"/>
      <c r="F365" s="73"/>
      <c r="G365" s="73"/>
    </row>
    <row r="366" ht="15.75" customHeight="1">
      <c r="B366" s="73"/>
      <c r="C366" s="73"/>
      <c r="D366" s="73"/>
      <c r="E366" s="73"/>
      <c r="F366" s="73"/>
      <c r="G366" s="73"/>
    </row>
    <row r="367" ht="15.75" customHeight="1">
      <c r="B367" s="73"/>
      <c r="C367" s="73"/>
      <c r="D367" s="73"/>
      <c r="E367" s="73"/>
      <c r="F367" s="73"/>
      <c r="G367" s="73"/>
    </row>
    <row r="368" ht="15.75" customHeight="1">
      <c r="B368" s="73"/>
      <c r="C368" s="73"/>
      <c r="D368" s="73"/>
      <c r="E368" s="73"/>
      <c r="F368" s="73"/>
      <c r="G368" s="73"/>
    </row>
    <row r="369" ht="15.75" customHeight="1">
      <c r="B369" s="73"/>
      <c r="C369" s="73"/>
      <c r="D369" s="73"/>
      <c r="E369" s="73"/>
      <c r="F369" s="73"/>
      <c r="G369" s="73"/>
    </row>
    <row r="370" ht="15.75" customHeight="1">
      <c r="B370" s="73"/>
      <c r="C370" s="73"/>
      <c r="D370" s="73"/>
      <c r="E370" s="73"/>
      <c r="F370" s="73"/>
      <c r="G370" s="73"/>
    </row>
    <row r="371" ht="15.75" customHeight="1">
      <c r="B371" s="73"/>
      <c r="C371" s="73"/>
      <c r="D371" s="73"/>
      <c r="E371" s="73"/>
      <c r="F371" s="73"/>
      <c r="G371" s="73"/>
    </row>
    <row r="372" ht="15.75" customHeight="1">
      <c r="B372" s="73"/>
      <c r="C372" s="73"/>
      <c r="D372" s="73"/>
      <c r="E372" s="73"/>
      <c r="F372" s="73"/>
      <c r="G372" s="73"/>
    </row>
    <row r="373" ht="15.75" customHeight="1">
      <c r="B373" s="73"/>
      <c r="C373" s="73"/>
      <c r="D373" s="73"/>
      <c r="E373" s="73"/>
      <c r="F373" s="73"/>
      <c r="G373" s="73"/>
    </row>
    <row r="374" ht="15.75" customHeight="1">
      <c r="B374" s="73"/>
      <c r="C374" s="73"/>
      <c r="D374" s="73"/>
      <c r="E374" s="73"/>
      <c r="F374" s="73"/>
      <c r="G374" s="73"/>
    </row>
    <row r="375" ht="15.75" customHeight="1">
      <c r="B375" s="73"/>
      <c r="C375" s="73"/>
      <c r="D375" s="73"/>
      <c r="E375" s="73"/>
      <c r="F375" s="73"/>
      <c r="G375" s="73"/>
    </row>
    <row r="376" ht="15.75" customHeight="1">
      <c r="B376" s="73"/>
      <c r="C376" s="73"/>
      <c r="D376" s="73"/>
      <c r="E376" s="73"/>
      <c r="F376" s="73"/>
      <c r="G376" s="73"/>
    </row>
    <row r="377" ht="15.75" customHeight="1">
      <c r="B377" s="73"/>
      <c r="C377" s="73"/>
      <c r="D377" s="73"/>
      <c r="E377" s="73"/>
      <c r="F377" s="73"/>
      <c r="G377" s="73"/>
    </row>
    <row r="378" ht="15.75" customHeight="1">
      <c r="B378" s="73"/>
      <c r="C378" s="73"/>
      <c r="D378" s="73"/>
      <c r="E378" s="73"/>
      <c r="F378" s="73"/>
      <c r="G378" s="73"/>
    </row>
    <row r="379" ht="15.75" customHeight="1">
      <c r="B379" s="73"/>
      <c r="C379" s="73"/>
      <c r="D379" s="73"/>
      <c r="E379" s="73"/>
      <c r="F379" s="73"/>
      <c r="G379" s="73"/>
    </row>
    <row r="380" ht="15.75" customHeight="1">
      <c r="B380" s="73"/>
      <c r="C380" s="73"/>
      <c r="D380" s="73"/>
      <c r="E380" s="73"/>
      <c r="F380" s="73"/>
      <c r="G380" s="73"/>
    </row>
    <row r="381" ht="15.75" customHeight="1">
      <c r="B381" s="73"/>
      <c r="C381" s="73"/>
      <c r="D381" s="73"/>
      <c r="E381" s="73"/>
      <c r="F381" s="73"/>
      <c r="G381" s="73"/>
    </row>
    <row r="382" ht="15.75" customHeight="1">
      <c r="B382" s="73"/>
      <c r="C382" s="73"/>
      <c r="D382" s="73"/>
      <c r="E382" s="73"/>
      <c r="F382" s="73"/>
      <c r="G382" s="73"/>
    </row>
    <row r="383" ht="15.75" customHeight="1">
      <c r="B383" s="73"/>
      <c r="C383" s="73"/>
      <c r="D383" s="73"/>
      <c r="E383" s="73"/>
      <c r="F383" s="73"/>
      <c r="G383" s="73"/>
    </row>
    <row r="384" ht="15.75" customHeight="1">
      <c r="B384" s="73"/>
      <c r="C384" s="73"/>
      <c r="D384" s="73"/>
      <c r="E384" s="73"/>
      <c r="F384" s="73"/>
      <c r="G384" s="73"/>
    </row>
    <row r="385" ht="15.75" customHeight="1">
      <c r="B385" s="73"/>
      <c r="C385" s="73"/>
      <c r="D385" s="73"/>
      <c r="E385" s="73"/>
      <c r="F385" s="73"/>
      <c r="G385" s="73"/>
    </row>
    <row r="386" ht="15.75" customHeight="1">
      <c r="B386" s="73"/>
      <c r="C386" s="73"/>
      <c r="D386" s="73"/>
      <c r="E386" s="73"/>
      <c r="F386" s="73"/>
      <c r="G386" s="73"/>
    </row>
    <row r="387" ht="15.75" customHeight="1">
      <c r="B387" s="73"/>
      <c r="C387" s="73"/>
      <c r="D387" s="73"/>
      <c r="E387" s="73"/>
      <c r="F387" s="73"/>
      <c r="G387" s="73"/>
    </row>
    <row r="388" ht="15.75" customHeight="1">
      <c r="B388" s="73"/>
      <c r="C388" s="73"/>
      <c r="D388" s="73"/>
      <c r="E388" s="73"/>
      <c r="F388" s="73"/>
      <c r="G388" s="73"/>
    </row>
    <row r="389" ht="15.75" customHeight="1">
      <c r="B389" s="73"/>
      <c r="C389" s="73"/>
      <c r="D389" s="73"/>
      <c r="E389" s="73"/>
      <c r="F389" s="73"/>
      <c r="G389" s="73"/>
    </row>
    <row r="390" ht="15.75" customHeight="1">
      <c r="B390" s="73"/>
      <c r="C390" s="73"/>
      <c r="D390" s="73"/>
      <c r="E390" s="73"/>
      <c r="F390" s="73"/>
      <c r="G390" s="73"/>
    </row>
    <row r="391" ht="15.75" customHeight="1">
      <c r="B391" s="73"/>
      <c r="C391" s="73"/>
      <c r="D391" s="73"/>
      <c r="E391" s="73"/>
      <c r="F391" s="73"/>
      <c r="G391" s="73"/>
    </row>
    <row r="392" ht="15.75" customHeight="1">
      <c r="B392" s="73"/>
      <c r="C392" s="73"/>
      <c r="D392" s="73"/>
      <c r="E392" s="73"/>
      <c r="F392" s="73"/>
      <c r="G392" s="73"/>
    </row>
    <row r="393" ht="15.75" customHeight="1">
      <c r="B393" s="73"/>
      <c r="C393" s="73"/>
      <c r="D393" s="73"/>
      <c r="E393" s="73"/>
      <c r="F393" s="73"/>
      <c r="G393" s="73"/>
    </row>
    <row r="394" ht="15.75" customHeight="1">
      <c r="B394" s="73"/>
      <c r="C394" s="73"/>
      <c r="D394" s="73"/>
      <c r="E394" s="73"/>
      <c r="F394" s="73"/>
      <c r="G394" s="73"/>
    </row>
    <row r="395" ht="15.75" customHeight="1">
      <c r="B395" s="73"/>
      <c r="C395" s="73"/>
      <c r="D395" s="73"/>
      <c r="E395" s="73"/>
      <c r="F395" s="73"/>
      <c r="G395" s="73"/>
    </row>
    <row r="396" ht="15.75" customHeight="1">
      <c r="B396" s="73"/>
      <c r="C396" s="73"/>
      <c r="D396" s="73"/>
      <c r="E396" s="73"/>
      <c r="F396" s="73"/>
      <c r="G396" s="73"/>
    </row>
    <row r="397" ht="15.75" customHeight="1">
      <c r="B397" s="73"/>
      <c r="C397" s="73"/>
      <c r="D397" s="73"/>
      <c r="E397" s="73"/>
      <c r="F397" s="73"/>
      <c r="G397" s="73"/>
    </row>
    <row r="398" ht="15.75" customHeight="1">
      <c r="B398" s="73"/>
      <c r="C398" s="73"/>
      <c r="D398" s="73"/>
      <c r="E398" s="73"/>
      <c r="F398" s="73"/>
      <c r="G398" s="73"/>
    </row>
    <row r="399" ht="15.75" customHeight="1">
      <c r="B399" s="73"/>
      <c r="C399" s="73"/>
      <c r="D399" s="73"/>
      <c r="E399" s="73"/>
      <c r="F399" s="73"/>
      <c r="G399" s="73"/>
    </row>
    <row r="400" ht="15.75" customHeight="1">
      <c r="B400" s="73"/>
      <c r="C400" s="73"/>
      <c r="D400" s="73"/>
      <c r="E400" s="73"/>
      <c r="F400" s="73"/>
      <c r="G400" s="73"/>
    </row>
    <row r="401" ht="15.75" customHeight="1">
      <c r="B401" s="73"/>
      <c r="C401" s="73"/>
      <c r="D401" s="73"/>
      <c r="E401" s="73"/>
      <c r="F401" s="73"/>
      <c r="G401" s="73"/>
    </row>
    <row r="402" ht="15.75" customHeight="1">
      <c r="B402" s="73"/>
      <c r="C402" s="73"/>
      <c r="D402" s="73"/>
      <c r="E402" s="73"/>
      <c r="F402" s="73"/>
      <c r="G402" s="73"/>
    </row>
    <row r="403" ht="15.75" customHeight="1">
      <c r="B403" s="73"/>
      <c r="C403" s="73"/>
      <c r="D403" s="73"/>
      <c r="E403" s="73"/>
      <c r="F403" s="73"/>
      <c r="G403" s="73"/>
    </row>
    <row r="404" ht="15.75" customHeight="1">
      <c r="B404" s="73"/>
      <c r="C404" s="73"/>
      <c r="D404" s="73"/>
      <c r="E404" s="73"/>
      <c r="F404" s="73"/>
      <c r="G404" s="73"/>
    </row>
    <row r="405" ht="15.75" customHeight="1">
      <c r="B405" s="73"/>
      <c r="C405" s="73"/>
      <c r="D405" s="73"/>
      <c r="E405" s="73"/>
      <c r="F405" s="73"/>
      <c r="G405" s="73"/>
    </row>
    <row r="406" ht="15.75" customHeight="1">
      <c r="B406" s="73"/>
      <c r="C406" s="73"/>
      <c r="D406" s="73"/>
      <c r="E406" s="73"/>
      <c r="F406" s="73"/>
      <c r="G406" s="73"/>
    </row>
    <row r="407" ht="15.75" customHeight="1">
      <c r="B407" s="73"/>
      <c r="C407" s="73"/>
      <c r="D407" s="73"/>
      <c r="E407" s="73"/>
      <c r="F407" s="73"/>
      <c r="G407" s="73"/>
    </row>
    <row r="408" ht="15.75" customHeight="1">
      <c r="B408" s="73"/>
      <c r="C408" s="73"/>
      <c r="D408" s="73"/>
      <c r="E408" s="73"/>
      <c r="F408" s="73"/>
      <c r="G408" s="73"/>
    </row>
    <row r="409" ht="15.75" customHeight="1">
      <c r="B409" s="73"/>
      <c r="C409" s="73"/>
      <c r="D409" s="73"/>
      <c r="E409" s="73"/>
      <c r="F409" s="73"/>
      <c r="G409" s="73"/>
    </row>
    <row r="410" ht="15.75" customHeight="1">
      <c r="B410" s="73"/>
      <c r="C410" s="73"/>
      <c r="D410" s="73"/>
      <c r="E410" s="73"/>
      <c r="F410" s="73"/>
      <c r="G410" s="73"/>
    </row>
    <row r="411" ht="15.75" customHeight="1">
      <c r="B411" s="73"/>
      <c r="C411" s="73"/>
      <c r="D411" s="73"/>
      <c r="E411" s="73"/>
      <c r="F411" s="73"/>
      <c r="G411" s="73"/>
    </row>
    <row r="412" ht="15.75" customHeight="1">
      <c r="B412" s="73"/>
      <c r="C412" s="73"/>
      <c r="D412" s="73"/>
      <c r="E412" s="73"/>
      <c r="F412" s="73"/>
      <c r="G412" s="73"/>
    </row>
    <row r="413" ht="15.75" customHeight="1">
      <c r="B413" s="73"/>
      <c r="C413" s="73"/>
      <c r="D413" s="73"/>
      <c r="E413" s="73"/>
      <c r="F413" s="73"/>
      <c r="G413" s="73"/>
    </row>
    <row r="414" ht="15.75" customHeight="1">
      <c r="B414" s="73"/>
      <c r="C414" s="73"/>
      <c r="D414" s="73"/>
      <c r="E414" s="73"/>
      <c r="F414" s="73"/>
      <c r="G414" s="73"/>
    </row>
    <row r="415" ht="15.75" customHeight="1">
      <c r="B415" s="73"/>
      <c r="C415" s="73"/>
      <c r="D415" s="73"/>
      <c r="E415" s="73"/>
      <c r="F415" s="73"/>
      <c r="G415" s="73"/>
    </row>
    <row r="416" ht="15.75" customHeight="1">
      <c r="B416" s="73"/>
      <c r="C416" s="73"/>
      <c r="D416" s="73"/>
      <c r="E416" s="73"/>
      <c r="F416" s="73"/>
      <c r="G416" s="73"/>
    </row>
    <row r="417" ht="15.75" customHeight="1">
      <c r="B417" s="73"/>
      <c r="C417" s="73"/>
      <c r="D417" s="73"/>
      <c r="E417" s="73"/>
      <c r="F417" s="73"/>
      <c r="G417" s="73"/>
    </row>
    <row r="418" ht="15.75" customHeight="1">
      <c r="B418" s="73"/>
      <c r="C418" s="73"/>
      <c r="D418" s="73"/>
      <c r="E418" s="73"/>
      <c r="F418" s="73"/>
      <c r="G418" s="73"/>
    </row>
    <row r="419" ht="15.75" customHeight="1">
      <c r="B419" s="73"/>
      <c r="C419" s="73"/>
      <c r="D419" s="73"/>
      <c r="E419" s="73"/>
      <c r="F419" s="73"/>
      <c r="G419" s="73"/>
    </row>
    <row r="420" ht="15.75" customHeight="1">
      <c r="B420" s="73"/>
      <c r="C420" s="73"/>
      <c r="D420" s="73"/>
      <c r="E420" s="73"/>
      <c r="F420" s="73"/>
      <c r="G420" s="73"/>
    </row>
    <row r="421" ht="15.75" customHeight="1">
      <c r="B421" s="73"/>
      <c r="C421" s="73"/>
      <c r="D421" s="73"/>
      <c r="E421" s="73"/>
      <c r="F421" s="73"/>
      <c r="G421" s="73"/>
    </row>
    <row r="422" ht="15.75" customHeight="1">
      <c r="B422" s="73"/>
      <c r="C422" s="73"/>
      <c r="D422" s="73"/>
      <c r="E422" s="73"/>
      <c r="F422" s="73"/>
      <c r="G422" s="73"/>
    </row>
    <row r="423" ht="15.75" customHeight="1">
      <c r="B423" s="73"/>
      <c r="C423" s="73"/>
      <c r="D423" s="73"/>
      <c r="E423" s="73"/>
      <c r="F423" s="73"/>
      <c r="G423" s="73"/>
    </row>
    <row r="424" ht="15.75" customHeight="1">
      <c r="B424" s="73"/>
      <c r="C424" s="73"/>
      <c r="D424" s="73"/>
      <c r="E424" s="73"/>
      <c r="F424" s="73"/>
      <c r="G424" s="73"/>
    </row>
    <row r="425" ht="15.75" customHeight="1">
      <c r="B425" s="73"/>
      <c r="C425" s="73"/>
      <c r="D425" s="73"/>
      <c r="E425" s="73"/>
      <c r="F425" s="73"/>
      <c r="G425" s="73"/>
    </row>
    <row r="426" ht="15.75" customHeight="1">
      <c r="B426" s="73"/>
      <c r="C426" s="73"/>
      <c r="D426" s="73"/>
      <c r="E426" s="73"/>
      <c r="F426" s="73"/>
      <c r="G426" s="73"/>
    </row>
    <row r="427" ht="15.75" customHeight="1">
      <c r="B427" s="73"/>
      <c r="C427" s="73"/>
      <c r="D427" s="73"/>
      <c r="E427" s="73"/>
      <c r="F427" s="73"/>
      <c r="G427" s="73"/>
    </row>
    <row r="428" ht="15.75" customHeight="1">
      <c r="B428" s="73"/>
      <c r="C428" s="73"/>
      <c r="D428" s="73"/>
      <c r="E428" s="73"/>
      <c r="F428" s="73"/>
      <c r="G428" s="73"/>
    </row>
    <row r="429" ht="15.75" customHeight="1">
      <c r="B429" s="73"/>
      <c r="C429" s="73"/>
      <c r="D429" s="73"/>
      <c r="E429" s="73"/>
      <c r="F429" s="73"/>
      <c r="G429" s="73"/>
    </row>
    <row r="430" ht="15.75" customHeight="1">
      <c r="B430" s="73"/>
      <c r="C430" s="73"/>
      <c r="D430" s="73"/>
      <c r="E430" s="73"/>
      <c r="F430" s="73"/>
      <c r="G430" s="73"/>
    </row>
    <row r="431" ht="15.75" customHeight="1">
      <c r="B431" s="73"/>
      <c r="C431" s="73"/>
      <c r="D431" s="73"/>
      <c r="E431" s="73"/>
      <c r="F431" s="73"/>
      <c r="G431" s="73"/>
    </row>
    <row r="432" ht="15.75" customHeight="1">
      <c r="B432" s="73"/>
      <c r="C432" s="73"/>
      <c r="D432" s="73"/>
      <c r="E432" s="73"/>
      <c r="F432" s="73"/>
      <c r="G432" s="73"/>
    </row>
    <row r="433" ht="15.75" customHeight="1">
      <c r="B433" s="73"/>
      <c r="C433" s="73"/>
      <c r="D433" s="73"/>
      <c r="E433" s="73"/>
      <c r="F433" s="73"/>
      <c r="G433" s="73"/>
    </row>
    <row r="434" ht="15.75" customHeight="1">
      <c r="B434" s="73"/>
      <c r="C434" s="73"/>
      <c r="D434" s="73"/>
      <c r="E434" s="73"/>
      <c r="F434" s="73"/>
      <c r="G434" s="73"/>
    </row>
    <row r="435" ht="15.75" customHeight="1">
      <c r="B435" s="73"/>
      <c r="C435" s="73"/>
      <c r="D435" s="73"/>
      <c r="E435" s="73"/>
      <c r="F435" s="73"/>
      <c r="G435" s="73"/>
    </row>
    <row r="436" ht="15.75" customHeight="1">
      <c r="B436" s="73"/>
      <c r="C436" s="73"/>
      <c r="D436" s="73"/>
      <c r="E436" s="73"/>
      <c r="F436" s="73"/>
      <c r="G436" s="73"/>
    </row>
    <row r="437" ht="15.75" customHeight="1">
      <c r="B437" s="73"/>
      <c r="C437" s="73"/>
      <c r="D437" s="73"/>
      <c r="E437" s="73"/>
      <c r="F437" s="73"/>
      <c r="G437" s="73"/>
    </row>
    <row r="438" ht="15.75" customHeight="1">
      <c r="B438" s="73"/>
      <c r="C438" s="73"/>
      <c r="D438" s="73"/>
      <c r="E438" s="73"/>
      <c r="F438" s="73"/>
      <c r="G438" s="73"/>
    </row>
    <row r="439" ht="15.75" customHeight="1">
      <c r="B439" s="73"/>
      <c r="C439" s="73"/>
      <c r="D439" s="73"/>
      <c r="E439" s="73"/>
      <c r="F439" s="73"/>
      <c r="G439" s="73"/>
    </row>
    <row r="440" ht="15.75" customHeight="1">
      <c r="B440" s="73"/>
      <c r="C440" s="73"/>
      <c r="D440" s="73"/>
      <c r="E440" s="73"/>
      <c r="F440" s="73"/>
      <c r="G440" s="73"/>
    </row>
    <row r="441" ht="15.75" customHeight="1">
      <c r="B441" s="73"/>
      <c r="C441" s="73"/>
      <c r="D441" s="73"/>
      <c r="E441" s="73"/>
      <c r="F441" s="73"/>
      <c r="G441" s="73"/>
    </row>
    <row r="442" ht="15.75" customHeight="1">
      <c r="B442" s="73"/>
      <c r="C442" s="73"/>
      <c r="D442" s="73"/>
      <c r="E442" s="73"/>
      <c r="F442" s="73"/>
      <c r="G442" s="73"/>
    </row>
    <row r="443" ht="15.75" customHeight="1">
      <c r="B443" s="73"/>
      <c r="C443" s="73"/>
      <c r="D443" s="73"/>
      <c r="E443" s="73"/>
      <c r="F443" s="73"/>
      <c r="G443" s="73"/>
    </row>
    <row r="444" ht="15.75" customHeight="1">
      <c r="B444" s="73"/>
      <c r="C444" s="73"/>
      <c r="D444" s="73"/>
      <c r="E444" s="73"/>
      <c r="F444" s="73"/>
      <c r="G444" s="73"/>
    </row>
    <row r="445" ht="15.75" customHeight="1">
      <c r="B445" s="73"/>
      <c r="C445" s="73"/>
      <c r="D445" s="73"/>
      <c r="E445" s="73"/>
      <c r="F445" s="73"/>
      <c r="G445" s="73"/>
    </row>
    <row r="446" ht="15.75" customHeight="1">
      <c r="B446" s="73"/>
      <c r="C446" s="73"/>
      <c r="D446" s="73"/>
      <c r="E446" s="73"/>
      <c r="F446" s="73"/>
      <c r="G446" s="73"/>
    </row>
    <row r="447" ht="15.75" customHeight="1">
      <c r="B447" s="73"/>
      <c r="C447" s="73"/>
      <c r="D447" s="73"/>
      <c r="E447" s="73"/>
      <c r="F447" s="73"/>
      <c r="G447" s="73"/>
    </row>
    <row r="448" ht="15.75" customHeight="1">
      <c r="B448" s="73"/>
      <c r="C448" s="73"/>
      <c r="D448" s="73"/>
      <c r="E448" s="73"/>
      <c r="F448" s="73"/>
      <c r="G448" s="73"/>
    </row>
    <row r="449" ht="15.75" customHeight="1">
      <c r="B449" s="73"/>
      <c r="C449" s="73"/>
      <c r="D449" s="73"/>
      <c r="E449" s="73"/>
      <c r="F449" s="73"/>
      <c r="G449" s="73"/>
    </row>
    <row r="450" ht="15.75" customHeight="1">
      <c r="B450" s="73"/>
      <c r="C450" s="73"/>
      <c r="D450" s="73"/>
      <c r="E450" s="73"/>
      <c r="F450" s="73"/>
      <c r="G450" s="73"/>
    </row>
    <row r="451" ht="15.75" customHeight="1">
      <c r="B451" s="73"/>
      <c r="C451" s="73"/>
      <c r="D451" s="73"/>
      <c r="E451" s="73"/>
      <c r="F451" s="73"/>
      <c r="G451" s="73"/>
    </row>
    <row r="452" ht="15.75" customHeight="1">
      <c r="B452" s="73"/>
      <c r="C452" s="73"/>
      <c r="D452" s="73"/>
      <c r="E452" s="73"/>
      <c r="F452" s="73"/>
      <c r="G452" s="73"/>
    </row>
    <row r="453" ht="15.75" customHeight="1">
      <c r="B453" s="73"/>
      <c r="C453" s="73"/>
      <c r="D453" s="73"/>
      <c r="E453" s="73"/>
      <c r="F453" s="73"/>
      <c r="G453" s="73"/>
    </row>
    <row r="454" ht="15.75" customHeight="1">
      <c r="B454" s="73"/>
      <c r="C454" s="73"/>
      <c r="D454" s="73"/>
      <c r="E454" s="73"/>
      <c r="F454" s="73"/>
      <c r="G454" s="73"/>
    </row>
    <row r="455" ht="15.75" customHeight="1">
      <c r="B455" s="73"/>
      <c r="C455" s="73"/>
      <c r="D455" s="73"/>
      <c r="E455" s="73"/>
      <c r="F455" s="73"/>
      <c r="G455" s="73"/>
    </row>
    <row r="456" ht="15.75" customHeight="1">
      <c r="B456" s="73"/>
      <c r="C456" s="73"/>
      <c r="D456" s="73"/>
      <c r="E456" s="73"/>
      <c r="F456" s="73"/>
      <c r="G456" s="73"/>
    </row>
    <row r="457" ht="15.75" customHeight="1">
      <c r="B457" s="73"/>
      <c r="C457" s="73"/>
      <c r="D457" s="73"/>
      <c r="E457" s="73"/>
      <c r="F457" s="73"/>
      <c r="G457" s="73"/>
    </row>
    <row r="458" ht="15.75" customHeight="1">
      <c r="B458" s="73"/>
      <c r="C458" s="73"/>
      <c r="D458" s="73"/>
      <c r="E458" s="73"/>
      <c r="F458" s="73"/>
      <c r="G458" s="73"/>
    </row>
    <row r="459" ht="15.75" customHeight="1">
      <c r="B459" s="73"/>
      <c r="C459" s="73"/>
      <c r="D459" s="73"/>
      <c r="E459" s="73"/>
      <c r="F459" s="73"/>
      <c r="G459" s="73"/>
    </row>
    <row r="460" ht="15.75" customHeight="1">
      <c r="B460" s="73"/>
      <c r="C460" s="73"/>
      <c r="D460" s="73"/>
      <c r="E460" s="73"/>
      <c r="F460" s="73"/>
      <c r="G460" s="73"/>
    </row>
    <row r="461" ht="15.75" customHeight="1">
      <c r="B461" s="73"/>
      <c r="C461" s="73"/>
      <c r="D461" s="73"/>
      <c r="E461" s="73"/>
      <c r="F461" s="73"/>
      <c r="G461" s="73"/>
    </row>
    <row r="462" ht="15.75" customHeight="1">
      <c r="B462" s="73"/>
      <c r="C462" s="73"/>
      <c r="D462" s="73"/>
      <c r="E462" s="73"/>
      <c r="F462" s="73"/>
      <c r="G462" s="73"/>
    </row>
    <row r="463" ht="15.75" customHeight="1">
      <c r="B463" s="73"/>
      <c r="C463" s="73"/>
      <c r="D463" s="73"/>
      <c r="E463" s="73"/>
      <c r="F463" s="73"/>
      <c r="G463" s="73"/>
    </row>
    <row r="464" ht="15.75" customHeight="1">
      <c r="B464" s="73"/>
      <c r="C464" s="73"/>
      <c r="D464" s="73"/>
      <c r="E464" s="73"/>
      <c r="F464" s="73"/>
      <c r="G464" s="73"/>
    </row>
    <row r="465" ht="15.75" customHeight="1">
      <c r="B465" s="73"/>
      <c r="C465" s="73"/>
      <c r="D465" s="73"/>
      <c r="E465" s="73"/>
      <c r="F465" s="73"/>
      <c r="G465" s="73"/>
    </row>
    <row r="466" ht="15.75" customHeight="1">
      <c r="B466" s="73"/>
      <c r="C466" s="73"/>
      <c r="D466" s="73"/>
      <c r="E466" s="73"/>
      <c r="F466" s="73"/>
      <c r="G466" s="73"/>
    </row>
    <row r="467" ht="15.75" customHeight="1">
      <c r="B467" s="73"/>
      <c r="C467" s="73"/>
      <c r="D467" s="73"/>
      <c r="E467" s="73"/>
      <c r="F467" s="73"/>
      <c r="G467" s="73"/>
    </row>
    <row r="468" ht="15.75" customHeight="1">
      <c r="B468" s="73"/>
      <c r="C468" s="73"/>
      <c r="D468" s="73"/>
      <c r="E468" s="73"/>
      <c r="F468" s="73"/>
      <c r="G468" s="73"/>
    </row>
    <row r="469" ht="15.75" customHeight="1">
      <c r="B469" s="73"/>
      <c r="C469" s="73"/>
      <c r="D469" s="73"/>
      <c r="E469" s="73"/>
      <c r="F469" s="73"/>
      <c r="G469" s="73"/>
    </row>
    <row r="470" ht="15.75" customHeight="1">
      <c r="B470" s="73"/>
      <c r="C470" s="73"/>
      <c r="D470" s="73"/>
      <c r="E470" s="73"/>
      <c r="F470" s="73"/>
      <c r="G470" s="73"/>
    </row>
    <row r="471" ht="15.75" customHeight="1">
      <c r="B471" s="73"/>
      <c r="C471" s="73"/>
      <c r="D471" s="73"/>
      <c r="E471" s="73"/>
      <c r="F471" s="73"/>
      <c r="G471" s="73"/>
    </row>
    <row r="472" ht="15.75" customHeight="1">
      <c r="B472" s="73"/>
      <c r="C472" s="73"/>
      <c r="D472" s="73"/>
      <c r="E472" s="73"/>
      <c r="F472" s="73"/>
      <c r="G472" s="73"/>
    </row>
    <row r="473" ht="15.75" customHeight="1">
      <c r="B473" s="73"/>
      <c r="C473" s="73"/>
      <c r="D473" s="73"/>
      <c r="E473" s="73"/>
      <c r="F473" s="73"/>
      <c r="G473" s="73"/>
    </row>
    <row r="474" ht="15.75" customHeight="1">
      <c r="B474" s="73"/>
      <c r="C474" s="73"/>
      <c r="D474" s="73"/>
      <c r="E474" s="73"/>
      <c r="F474" s="73"/>
      <c r="G474" s="73"/>
    </row>
    <row r="475" ht="15.75" customHeight="1">
      <c r="B475" s="73"/>
      <c r="C475" s="73"/>
      <c r="D475" s="73"/>
      <c r="E475" s="73"/>
      <c r="F475" s="73"/>
      <c r="G475" s="73"/>
    </row>
    <row r="476" ht="15.75" customHeight="1">
      <c r="B476" s="73"/>
      <c r="C476" s="73"/>
      <c r="D476" s="73"/>
      <c r="E476" s="73"/>
      <c r="F476" s="73"/>
      <c r="G476" s="73"/>
    </row>
    <row r="477" ht="15.75" customHeight="1">
      <c r="B477" s="73"/>
      <c r="C477" s="73"/>
      <c r="D477" s="73"/>
      <c r="E477" s="73"/>
      <c r="F477" s="73"/>
      <c r="G477" s="73"/>
    </row>
    <row r="478" ht="15.75" customHeight="1">
      <c r="B478" s="73"/>
      <c r="C478" s="73"/>
      <c r="D478" s="73"/>
      <c r="E478" s="73"/>
      <c r="F478" s="73"/>
      <c r="G478" s="73"/>
    </row>
    <row r="479" ht="15.75" customHeight="1">
      <c r="B479" s="73"/>
      <c r="C479" s="73"/>
      <c r="D479" s="73"/>
      <c r="E479" s="73"/>
      <c r="F479" s="73"/>
      <c r="G479" s="73"/>
    </row>
    <row r="480" ht="15.75" customHeight="1">
      <c r="B480" s="73"/>
      <c r="C480" s="73"/>
      <c r="D480" s="73"/>
      <c r="E480" s="73"/>
      <c r="F480" s="73"/>
      <c r="G480" s="73"/>
    </row>
    <row r="481" ht="15.75" customHeight="1">
      <c r="B481" s="73"/>
      <c r="C481" s="73"/>
      <c r="D481" s="73"/>
      <c r="E481" s="73"/>
      <c r="F481" s="73"/>
      <c r="G481" s="73"/>
    </row>
    <row r="482" ht="15.75" customHeight="1">
      <c r="B482" s="73"/>
      <c r="C482" s="73"/>
      <c r="D482" s="73"/>
      <c r="E482" s="73"/>
      <c r="F482" s="73"/>
      <c r="G482" s="73"/>
    </row>
    <row r="483" ht="15.75" customHeight="1">
      <c r="B483" s="73"/>
      <c r="C483" s="73"/>
      <c r="D483" s="73"/>
      <c r="E483" s="73"/>
      <c r="F483" s="73"/>
      <c r="G483" s="73"/>
    </row>
    <row r="484" ht="15.75" customHeight="1">
      <c r="B484" s="73"/>
      <c r="C484" s="73"/>
      <c r="D484" s="73"/>
      <c r="E484" s="73"/>
      <c r="F484" s="73"/>
      <c r="G484" s="73"/>
    </row>
    <row r="485" ht="15.75" customHeight="1">
      <c r="B485" s="73"/>
      <c r="C485" s="73"/>
      <c r="D485" s="73"/>
      <c r="E485" s="73"/>
      <c r="F485" s="73"/>
      <c r="G485" s="73"/>
    </row>
    <row r="486" ht="15.75" customHeight="1">
      <c r="B486" s="73"/>
      <c r="C486" s="73"/>
      <c r="D486" s="73"/>
      <c r="E486" s="73"/>
      <c r="F486" s="73"/>
      <c r="G486" s="73"/>
    </row>
    <row r="487" ht="15.75" customHeight="1">
      <c r="B487" s="73"/>
      <c r="C487" s="73"/>
      <c r="D487" s="73"/>
      <c r="E487" s="73"/>
      <c r="F487" s="73"/>
      <c r="G487" s="73"/>
    </row>
    <row r="488" ht="15.75" customHeight="1">
      <c r="B488" s="73"/>
      <c r="C488" s="73"/>
      <c r="D488" s="73"/>
      <c r="E488" s="73"/>
      <c r="F488" s="73"/>
      <c r="G488" s="73"/>
    </row>
    <row r="489" ht="15.75" customHeight="1">
      <c r="B489" s="73"/>
      <c r="C489" s="73"/>
      <c r="D489" s="73"/>
      <c r="E489" s="73"/>
      <c r="F489" s="73"/>
      <c r="G489" s="73"/>
    </row>
    <row r="490" ht="15.75" customHeight="1">
      <c r="B490" s="73"/>
      <c r="C490" s="73"/>
      <c r="D490" s="73"/>
      <c r="E490" s="73"/>
      <c r="F490" s="73"/>
      <c r="G490" s="73"/>
    </row>
    <row r="491" ht="15.75" customHeight="1">
      <c r="B491" s="73"/>
      <c r="C491" s="73"/>
      <c r="D491" s="73"/>
      <c r="E491" s="73"/>
      <c r="F491" s="73"/>
      <c r="G491" s="73"/>
    </row>
    <row r="492" ht="15.75" customHeight="1">
      <c r="B492" s="73"/>
      <c r="C492" s="73"/>
      <c r="D492" s="73"/>
      <c r="E492" s="73"/>
      <c r="F492" s="73"/>
      <c r="G492" s="73"/>
    </row>
    <row r="493" ht="15.75" customHeight="1">
      <c r="B493" s="73"/>
      <c r="C493" s="73"/>
      <c r="D493" s="73"/>
      <c r="E493" s="73"/>
      <c r="F493" s="73"/>
      <c r="G493" s="73"/>
    </row>
    <row r="494" ht="15.75" customHeight="1">
      <c r="B494" s="73"/>
      <c r="C494" s="73"/>
      <c r="D494" s="73"/>
      <c r="E494" s="73"/>
      <c r="F494" s="73"/>
      <c r="G494" s="73"/>
    </row>
    <row r="495" ht="15.75" customHeight="1">
      <c r="B495" s="73"/>
      <c r="C495" s="73"/>
      <c r="D495" s="73"/>
      <c r="E495" s="73"/>
      <c r="F495" s="73"/>
      <c r="G495" s="73"/>
    </row>
    <row r="496" ht="15.75" customHeight="1">
      <c r="B496" s="73"/>
      <c r="C496" s="73"/>
      <c r="D496" s="73"/>
      <c r="E496" s="73"/>
      <c r="F496" s="73"/>
      <c r="G496" s="73"/>
    </row>
    <row r="497" ht="15.75" customHeight="1">
      <c r="B497" s="73"/>
      <c r="C497" s="73"/>
      <c r="D497" s="73"/>
      <c r="E497" s="73"/>
      <c r="F497" s="73"/>
      <c r="G497" s="73"/>
    </row>
    <row r="498" ht="15.75" customHeight="1">
      <c r="B498" s="73"/>
      <c r="C498" s="73"/>
      <c r="D498" s="73"/>
      <c r="E498" s="73"/>
      <c r="F498" s="73"/>
      <c r="G498" s="73"/>
    </row>
    <row r="499" ht="15.75" customHeight="1">
      <c r="B499" s="73"/>
      <c r="C499" s="73"/>
      <c r="D499" s="73"/>
      <c r="E499" s="73"/>
      <c r="F499" s="73"/>
      <c r="G499" s="73"/>
    </row>
    <row r="500" ht="15.75" customHeight="1">
      <c r="B500" s="73"/>
      <c r="C500" s="73"/>
      <c r="D500" s="73"/>
      <c r="E500" s="73"/>
      <c r="F500" s="73"/>
      <c r="G500" s="73"/>
    </row>
    <row r="501" ht="15.75" customHeight="1">
      <c r="B501" s="73"/>
      <c r="C501" s="73"/>
      <c r="D501" s="73"/>
      <c r="E501" s="73"/>
      <c r="F501" s="73"/>
      <c r="G501" s="73"/>
    </row>
    <row r="502" ht="15.75" customHeight="1">
      <c r="B502" s="73"/>
      <c r="C502" s="73"/>
      <c r="D502" s="73"/>
      <c r="E502" s="73"/>
      <c r="F502" s="73"/>
      <c r="G502" s="73"/>
    </row>
    <row r="503" ht="15.75" customHeight="1">
      <c r="B503" s="73"/>
      <c r="C503" s="73"/>
      <c r="D503" s="73"/>
      <c r="E503" s="73"/>
      <c r="F503" s="73"/>
      <c r="G503" s="73"/>
    </row>
    <row r="504" ht="15.75" customHeight="1">
      <c r="B504" s="73"/>
      <c r="C504" s="73"/>
      <c r="D504" s="73"/>
      <c r="E504" s="73"/>
      <c r="F504" s="73"/>
      <c r="G504" s="73"/>
    </row>
    <row r="505" ht="15.75" customHeight="1">
      <c r="B505" s="73"/>
      <c r="C505" s="73"/>
      <c r="D505" s="73"/>
      <c r="E505" s="73"/>
      <c r="F505" s="73"/>
      <c r="G505" s="73"/>
    </row>
    <row r="506" ht="15.75" customHeight="1">
      <c r="B506" s="73"/>
      <c r="C506" s="73"/>
      <c r="D506" s="73"/>
      <c r="E506" s="73"/>
      <c r="F506" s="73"/>
      <c r="G506" s="73"/>
    </row>
    <row r="507" ht="15.75" customHeight="1">
      <c r="B507" s="73"/>
      <c r="C507" s="73"/>
      <c r="D507" s="73"/>
      <c r="E507" s="73"/>
      <c r="F507" s="73"/>
      <c r="G507" s="73"/>
    </row>
    <row r="508" ht="15.75" customHeight="1">
      <c r="B508" s="73"/>
      <c r="C508" s="73"/>
      <c r="D508" s="73"/>
      <c r="E508" s="73"/>
      <c r="F508" s="73"/>
      <c r="G508" s="73"/>
    </row>
    <row r="509" ht="15.75" customHeight="1">
      <c r="B509" s="73"/>
      <c r="C509" s="73"/>
      <c r="D509" s="73"/>
      <c r="E509" s="73"/>
      <c r="F509" s="73"/>
      <c r="G509" s="73"/>
    </row>
    <row r="510" ht="15.75" customHeight="1">
      <c r="B510" s="73"/>
      <c r="C510" s="73"/>
      <c r="D510" s="73"/>
      <c r="E510" s="73"/>
      <c r="F510" s="73"/>
      <c r="G510" s="73"/>
    </row>
    <row r="511" ht="15.75" customHeight="1">
      <c r="B511" s="73"/>
      <c r="C511" s="73"/>
      <c r="D511" s="73"/>
      <c r="E511" s="73"/>
      <c r="F511" s="73"/>
      <c r="G511" s="73"/>
    </row>
    <row r="512" ht="15.75" customHeight="1">
      <c r="B512" s="73"/>
      <c r="C512" s="73"/>
      <c r="D512" s="73"/>
      <c r="E512" s="73"/>
      <c r="F512" s="73"/>
      <c r="G512" s="73"/>
    </row>
    <row r="513" ht="15.75" customHeight="1">
      <c r="B513" s="73"/>
      <c r="C513" s="73"/>
      <c r="D513" s="73"/>
      <c r="E513" s="73"/>
      <c r="F513" s="73"/>
      <c r="G513" s="73"/>
    </row>
    <row r="514" ht="15.75" customHeight="1">
      <c r="B514" s="73"/>
      <c r="C514" s="73"/>
      <c r="D514" s="73"/>
      <c r="E514" s="73"/>
      <c r="F514" s="73"/>
      <c r="G514" s="73"/>
    </row>
    <row r="515" ht="15.75" customHeight="1">
      <c r="B515" s="73"/>
      <c r="C515" s="73"/>
      <c r="D515" s="73"/>
      <c r="E515" s="73"/>
      <c r="F515" s="73"/>
      <c r="G515" s="73"/>
    </row>
    <row r="516" ht="15.75" customHeight="1">
      <c r="B516" s="73"/>
      <c r="C516" s="73"/>
      <c r="D516" s="73"/>
      <c r="E516" s="73"/>
      <c r="F516" s="73"/>
      <c r="G516" s="73"/>
    </row>
    <row r="517" ht="15.75" customHeight="1">
      <c r="B517" s="73"/>
      <c r="C517" s="73"/>
      <c r="D517" s="73"/>
      <c r="E517" s="73"/>
      <c r="F517" s="73"/>
      <c r="G517" s="73"/>
    </row>
    <row r="518" ht="15.75" customHeight="1">
      <c r="B518" s="73"/>
      <c r="C518" s="73"/>
      <c r="D518" s="73"/>
      <c r="E518" s="73"/>
      <c r="F518" s="73"/>
      <c r="G518" s="73"/>
    </row>
    <row r="519" ht="15.75" customHeight="1">
      <c r="B519" s="73"/>
      <c r="C519" s="73"/>
      <c r="D519" s="73"/>
      <c r="E519" s="73"/>
      <c r="F519" s="73"/>
      <c r="G519" s="73"/>
    </row>
    <row r="520" ht="15.75" customHeight="1">
      <c r="B520" s="73"/>
      <c r="C520" s="73"/>
      <c r="D520" s="73"/>
      <c r="E520" s="73"/>
      <c r="F520" s="73"/>
      <c r="G520" s="73"/>
    </row>
    <row r="521" ht="15.75" customHeight="1">
      <c r="B521" s="73"/>
      <c r="C521" s="73"/>
      <c r="D521" s="73"/>
      <c r="E521" s="73"/>
      <c r="F521" s="73"/>
      <c r="G521" s="73"/>
    </row>
    <row r="522" ht="15.75" customHeight="1">
      <c r="B522" s="73"/>
      <c r="C522" s="73"/>
      <c r="D522" s="73"/>
      <c r="E522" s="73"/>
      <c r="F522" s="73"/>
      <c r="G522" s="73"/>
    </row>
    <row r="523" ht="15.75" customHeight="1">
      <c r="B523" s="73"/>
      <c r="C523" s="73"/>
      <c r="D523" s="73"/>
      <c r="E523" s="73"/>
      <c r="F523" s="73"/>
      <c r="G523" s="73"/>
    </row>
    <row r="524" ht="15.75" customHeight="1">
      <c r="B524" s="73"/>
      <c r="C524" s="73"/>
      <c r="D524" s="73"/>
      <c r="E524" s="73"/>
      <c r="F524" s="73"/>
      <c r="G524" s="73"/>
    </row>
    <row r="525" ht="15.75" customHeight="1">
      <c r="B525" s="73"/>
      <c r="C525" s="73"/>
      <c r="D525" s="73"/>
      <c r="E525" s="73"/>
      <c r="F525" s="73"/>
      <c r="G525" s="73"/>
    </row>
    <row r="526" ht="15.75" customHeight="1">
      <c r="B526" s="73"/>
      <c r="C526" s="73"/>
      <c r="D526" s="73"/>
      <c r="E526" s="73"/>
      <c r="F526" s="73"/>
      <c r="G526" s="73"/>
    </row>
    <row r="527" ht="15.75" customHeight="1">
      <c r="B527" s="73"/>
      <c r="C527" s="73"/>
      <c r="D527" s="73"/>
      <c r="E527" s="73"/>
      <c r="F527" s="73"/>
      <c r="G527" s="73"/>
    </row>
    <row r="528" ht="15.75" customHeight="1">
      <c r="B528" s="73"/>
      <c r="C528" s="73"/>
      <c r="D528" s="73"/>
      <c r="E528" s="73"/>
      <c r="F528" s="73"/>
      <c r="G528" s="73"/>
    </row>
    <row r="529" ht="15.75" customHeight="1">
      <c r="B529" s="73"/>
      <c r="C529" s="73"/>
      <c r="D529" s="73"/>
      <c r="E529" s="73"/>
      <c r="F529" s="73"/>
      <c r="G529" s="73"/>
    </row>
    <row r="530" ht="15.75" customHeight="1">
      <c r="B530" s="73"/>
      <c r="C530" s="73"/>
      <c r="D530" s="73"/>
      <c r="E530" s="73"/>
      <c r="F530" s="73"/>
      <c r="G530" s="73"/>
    </row>
    <row r="531" ht="15.75" customHeight="1">
      <c r="B531" s="73"/>
      <c r="C531" s="73"/>
      <c r="D531" s="73"/>
      <c r="E531" s="73"/>
      <c r="F531" s="73"/>
      <c r="G531" s="73"/>
    </row>
    <row r="532" ht="15.75" customHeight="1">
      <c r="B532" s="73"/>
      <c r="C532" s="73"/>
      <c r="D532" s="73"/>
      <c r="E532" s="73"/>
      <c r="F532" s="73"/>
      <c r="G532" s="73"/>
    </row>
    <row r="533" ht="15.75" customHeight="1">
      <c r="B533" s="73"/>
      <c r="C533" s="73"/>
      <c r="D533" s="73"/>
      <c r="E533" s="73"/>
      <c r="F533" s="73"/>
      <c r="G533" s="73"/>
    </row>
    <row r="534" ht="15.75" customHeight="1">
      <c r="B534" s="73"/>
      <c r="C534" s="73"/>
      <c r="D534" s="73"/>
      <c r="E534" s="73"/>
      <c r="F534" s="73"/>
      <c r="G534" s="73"/>
    </row>
    <row r="535" ht="15.75" customHeight="1">
      <c r="B535" s="73"/>
      <c r="C535" s="73"/>
      <c r="D535" s="73"/>
      <c r="E535" s="73"/>
      <c r="F535" s="73"/>
      <c r="G535" s="73"/>
    </row>
    <row r="536" ht="15.75" customHeight="1">
      <c r="B536" s="73"/>
      <c r="C536" s="73"/>
      <c r="D536" s="73"/>
      <c r="E536" s="73"/>
      <c r="F536" s="73"/>
      <c r="G536" s="73"/>
    </row>
    <row r="537" ht="15.75" customHeight="1">
      <c r="B537" s="73"/>
      <c r="C537" s="73"/>
      <c r="D537" s="73"/>
      <c r="E537" s="73"/>
      <c r="F537" s="73"/>
      <c r="G537" s="73"/>
    </row>
    <row r="538" ht="15.75" customHeight="1">
      <c r="B538" s="73"/>
      <c r="C538" s="73"/>
      <c r="D538" s="73"/>
      <c r="E538" s="73"/>
      <c r="F538" s="73"/>
      <c r="G538" s="73"/>
    </row>
    <row r="539" ht="15.75" customHeight="1">
      <c r="B539" s="73"/>
      <c r="C539" s="73"/>
      <c r="D539" s="73"/>
      <c r="E539" s="73"/>
      <c r="F539" s="73"/>
      <c r="G539" s="73"/>
    </row>
    <row r="540" ht="15.75" customHeight="1">
      <c r="B540" s="73"/>
      <c r="C540" s="73"/>
      <c r="D540" s="73"/>
      <c r="E540" s="73"/>
      <c r="F540" s="73"/>
      <c r="G540" s="73"/>
    </row>
    <row r="541" ht="15.75" customHeight="1">
      <c r="B541" s="73"/>
      <c r="C541" s="73"/>
      <c r="D541" s="73"/>
      <c r="E541" s="73"/>
      <c r="F541" s="73"/>
      <c r="G541" s="73"/>
    </row>
    <row r="542" ht="15.75" customHeight="1">
      <c r="B542" s="73"/>
      <c r="C542" s="73"/>
      <c r="D542" s="73"/>
      <c r="E542" s="73"/>
      <c r="F542" s="73"/>
      <c r="G542" s="73"/>
    </row>
    <row r="543" ht="15.75" customHeight="1">
      <c r="B543" s="73"/>
      <c r="C543" s="73"/>
      <c r="D543" s="73"/>
      <c r="E543" s="73"/>
      <c r="F543" s="73"/>
      <c r="G543" s="73"/>
    </row>
    <row r="544" ht="15.75" customHeight="1">
      <c r="B544" s="73"/>
      <c r="C544" s="73"/>
      <c r="D544" s="73"/>
      <c r="E544" s="73"/>
      <c r="F544" s="73"/>
      <c r="G544" s="73"/>
    </row>
    <row r="545" ht="15.75" customHeight="1">
      <c r="B545" s="73"/>
      <c r="C545" s="73"/>
      <c r="D545" s="73"/>
      <c r="E545" s="73"/>
      <c r="F545" s="73"/>
      <c r="G545" s="73"/>
    </row>
    <row r="546" ht="15.75" customHeight="1">
      <c r="B546" s="73"/>
      <c r="C546" s="73"/>
      <c r="D546" s="73"/>
      <c r="E546" s="73"/>
      <c r="F546" s="73"/>
      <c r="G546" s="73"/>
    </row>
    <row r="547" ht="15.75" customHeight="1">
      <c r="B547" s="73"/>
      <c r="C547" s="73"/>
      <c r="D547" s="73"/>
      <c r="E547" s="73"/>
      <c r="F547" s="73"/>
      <c r="G547" s="73"/>
    </row>
    <row r="548" ht="15.75" customHeight="1">
      <c r="B548" s="73"/>
      <c r="C548" s="73"/>
      <c r="D548" s="73"/>
      <c r="E548" s="73"/>
      <c r="F548" s="73"/>
      <c r="G548" s="73"/>
    </row>
    <row r="549" ht="15.75" customHeight="1">
      <c r="B549" s="73"/>
      <c r="C549" s="73"/>
      <c r="D549" s="73"/>
      <c r="E549" s="73"/>
      <c r="F549" s="73"/>
      <c r="G549" s="73"/>
    </row>
    <row r="550" ht="15.75" customHeight="1">
      <c r="B550" s="73"/>
      <c r="C550" s="73"/>
      <c r="D550" s="73"/>
      <c r="E550" s="73"/>
      <c r="F550" s="73"/>
      <c r="G550" s="73"/>
    </row>
    <row r="551" ht="15.75" customHeight="1">
      <c r="B551" s="73"/>
      <c r="C551" s="73"/>
      <c r="D551" s="73"/>
      <c r="E551" s="73"/>
      <c r="F551" s="73"/>
      <c r="G551" s="73"/>
    </row>
    <row r="552" ht="15.75" customHeight="1">
      <c r="B552" s="73"/>
      <c r="C552" s="73"/>
      <c r="D552" s="73"/>
      <c r="E552" s="73"/>
      <c r="F552" s="73"/>
      <c r="G552" s="73"/>
    </row>
    <row r="553" ht="15.75" customHeight="1">
      <c r="B553" s="73"/>
      <c r="C553" s="73"/>
      <c r="D553" s="73"/>
      <c r="E553" s="73"/>
      <c r="F553" s="73"/>
      <c r="G553" s="73"/>
    </row>
    <row r="554" ht="15.75" customHeight="1">
      <c r="B554" s="73"/>
      <c r="C554" s="73"/>
      <c r="D554" s="73"/>
      <c r="E554" s="73"/>
      <c r="F554" s="73"/>
      <c r="G554" s="73"/>
    </row>
    <row r="555" ht="15.75" customHeight="1">
      <c r="B555" s="73"/>
      <c r="C555" s="73"/>
      <c r="D555" s="73"/>
      <c r="E555" s="73"/>
      <c r="F555" s="73"/>
      <c r="G555" s="73"/>
    </row>
    <row r="556" ht="15.75" customHeight="1">
      <c r="B556" s="73"/>
      <c r="C556" s="73"/>
      <c r="D556" s="73"/>
      <c r="E556" s="73"/>
      <c r="F556" s="73"/>
      <c r="G556" s="73"/>
    </row>
    <row r="557" ht="15.75" customHeight="1">
      <c r="B557" s="73"/>
      <c r="C557" s="73"/>
      <c r="D557" s="73"/>
      <c r="E557" s="73"/>
      <c r="F557" s="73"/>
      <c r="G557" s="73"/>
    </row>
    <row r="558" ht="15.75" customHeight="1">
      <c r="B558" s="73"/>
      <c r="C558" s="73"/>
      <c r="D558" s="73"/>
      <c r="E558" s="73"/>
      <c r="F558" s="73"/>
      <c r="G558" s="73"/>
    </row>
    <row r="559" ht="15.75" customHeight="1">
      <c r="B559" s="73"/>
      <c r="C559" s="73"/>
      <c r="D559" s="73"/>
      <c r="E559" s="73"/>
      <c r="F559" s="73"/>
      <c r="G559" s="73"/>
    </row>
    <row r="560" ht="15.75" customHeight="1">
      <c r="B560" s="73"/>
      <c r="C560" s="73"/>
      <c r="D560" s="73"/>
      <c r="E560" s="73"/>
      <c r="F560" s="73"/>
      <c r="G560" s="73"/>
    </row>
    <row r="561" ht="15.75" customHeight="1">
      <c r="B561" s="73"/>
      <c r="C561" s="73"/>
      <c r="D561" s="73"/>
      <c r="E561" s="73"/>
      <c r="F561" s="73"/>
      <c r="G561" s="73"/>
    </row>
    <row r="562" ht="15.75" customHeight="1">
      <c r="B562" s="73"/>
      <c r="C562" s="73"/>
      <c r="D562" s="73"/>
      <c r="E562" s="73"/>
      <c r="F562" s="73"/>
      <c r="G562" s="73"/>
    </row>
    <row r="563" ht="15.75" customHeight="1">
      <c r="B563" s="73"/>
      <c r="C563" s="73"/>
      <c r="D563" s="73"/>
      <c r="E563" s="73"/>
      <c r="F563" s="73"/>
      <c r="G563" s="73"/>
    </row>
    <row r="564" ht="15.75" customHeight="1">
      <c r="B564" s="73"/>
      <c r="C564" s="73"/>
      <c r="D564" s="73"/>
      <c r="E564" s="73"/>
      <c r="F564" s="73"/>
      <c r="G564" s="73"/>
    </row>
    <row r="565" ht="15.75" customHeight="1">
      <c r="B565" s="73"/>
      <c r="C565" s="73"/>
      <c r="D565" s="73"/>
      <c r="E565" s="73"/>
      <c r="F565" s="73"/>
      <c r="G565" s="73"/>
    </row>
    <row r="566" ht="15.75" customHeight="1">
      <c r="B566" s="73"/>
      <c r="C566" s="73"/>
      <c r="D566" s="73"/>
      <c r="E566" s="73"/>
      <c r="F566" s="73"/>
      <c r="G566" s="73"/>
    </row>
    <row r="567" ht="15.75" customHeight="1">
      <c r="B567" s="73"/>
      <c r="C567" s="73"/>
      <c r="D567" s="73"/>
      <c r="E567" s="73"/>
      <c r="F567" s="73"/>
      <c r="G567" s="73"/>
    </row>
    <row r="568" ht="15.75" customHeight="1">
      <c r="B568" s="73"/>
      <c r="C568" s="73"/>
      <c r="D568" s="73"/>
      <c r="E568" s="73"/>
      <c r="F568" s="73"/>
      <c r="G568" s="73"/>
    </row>
    <row r="569" ht="15.75" customHeight="1">
      <c r="B569" s="73"/>
      <c r="C569" s="73"/>
      <c r="D569" s="73"/>
      <c r="E569" s="73"/>
      <c r="F569" s="73"/>
      <c r="G569" s="73"/>
    </row>
    <row r="570" ht="15.75" customHeight="1">
      <c r="B570" s="73"/>
      <c r="C570" s="73"/>
      <c r="D570" s="73"/>
      <c r="E570" s="73"/>
      <c r="F570" s="73"/>
      <c r="G570" s="73"/>
    </row>
    <row r="571" ht="15.75" customHeight="1">
      <c r="B571" s="73"/>
      <c r="C571" s="73"/>
      <c r="D571" s="73"/>
      <c r="E571" s="73"/>
      <c r="F571" s="73"/>
      <c r="G571" s="73"/>
    </row>
    <row r="572" ht="15.75" customHeight="1">
      <c r="B572" s="73"/>
      <c r="C572" s="73"/>
      <c r="D572" s="73"/>
      <c r="E572" s="73"/>
      <c r="F572" s="73"/>
      <c r="G572" s="73"/>
    </row>
    <row r="573" ht="15.75" customHeight="1">
      <c r="B573" s="73"/>
      <c r="C573" s="73"/>
      <c r="D573" s="73"/>
      <c r="E573" s="73"/>
      <c r="F573" s="73"/>
      <c r="G573" s="73"/>
    </row>
    <row r="574" ht="15.75" customHeight="1">
      <c r="B574" s="73"/>
      <c r="C574" s="73"/>
      <c r="D574" s="73"/>
      <c r="E574" s="73"/>
      <c r="F574" s="73"/>
      <c r="G574" s="73"/>
    </row>
    <row r="575" ht="15.75" customHeight="1">
      <c r="B575" s="73"/>
      <c r="C575" s="73"/>
      <c r="D575" s="73"/>
      <c r="E575" s="73"/>
      <c r="F575" s="73"/>
      <c r="G575" s="73"/>
    </row>
    <row r="576" ht="15.75" customHeight="1">
      <c r="B576" s="73"/>
      <c r="C576" s="73"/>
      <c r="D576" s="73"/>
      <c r="E576" s="73"/>
      <c r="F576" s="73"/>
      <c r="G576" s="73"/>
    </row>
    <row r="577" ht="15.75" customHeight="1">
      <c r="B577" s="73"/>
      <c r="C577" s="73"/>
      <c r="D577" s="73"/>
      <c r="E577" s="73"/>
      <c r="F577" s="73"/>
      <c r="G577" s="73"/>
    </row>
    <row r="578" ht="15.75" customHeight="1">
      <c r="B578" s="73"/>
      <c r="C578" s="73"/>
      <c r="D578" s="73"/>
      <c r="E578" s="73"/>
      <c r="F578" s="73"/>
      <c r="G578" s="73"/>
    </row>
    <row r="579" ht="15.75" customHeight="1">
      <c r="B579" s="73"/>
      <c r="C579" s="73"/>
      <c r="D579" s="73"/>
      <c r="E579" s="73"/>
      <c r="F579" s="73"/>
      <c r="G579" s="73"/>
    </row>
    <row r="580" ht="15.75" customHeight="1">
      <c r="B580" s="73"/>
      <c r="C580" s="73"/>
      <c r="D580" s="73"/>
      <c r="E580" s="73"/>
      <c r="F580" s="73"/>
      <c r="G580" s="73"/>
    </row>
    <row r="581" ht="15.75" customHeight="1">
      <c r="B581" s="73"/>
      <c r="C581" s="73"/>
      <c r="D581" s="73"/>
      <c r="E581" s="73"/>
      <c r="F581" s="73"/>
      <c r="G581" s="73"/>
    </row>
    <row r="582" ht="15.75" customHeight="1">
      <c r="B582" s="73"/>
      <c r="C582" s="73"/>
      <c r="D582" s="73"/>
      <c r="E582" s="73"/>
      <c r="F582" s="73"/>
      <c r="G582" s="73"/>
    </row>
    <row r="583" ht="15.75" customHeight="1">
      <c r="B583" s="73"/>
      <c r="C583" s="73"/>
      <c r="D583" s="73"/>
      <c r="E583" s="73"/>
      <c r="F583" s="73"/>
      <c r="G583" s="73"/>
    </row>
    <row r="584" ht="15.75" customHeight="1">
      <c r="B584" s="73"/>
      <c r="C584" s="73"/>
      <c r="D584" s="73"/>
      <c r="E584" s="73"/>
      <c r="F584" s="73"/>
      <c r="G584" s="73"/>
    </row>
    <row r="585" ht="15.75" customHeight="1">
      <c r="B585" s="73"/>
      <c r="C585" s="73"/>
      <c r="D585" s="73"/>
      <c r="E585" s="73"/>
      <c r="F585" s="73"/>
      <c r="G585" s="73"/>
    </row>
    <row r="586" ht="15.75" customHeight="1">
      <c r="B586" s="73"/>
      <c r="C586" s="73"/>
      <c r="D586" s="73"/>
      <c r="E586" s="73"/>
      <c r="F586" s="73"/>
      <c r="G586" s="73"/>
    </row>
    <row r="587" ht="15.75" customHeight="1">
      <c r="B587" s="73"/>
      <c r="C587" s="73"/>
      <c r="D587" s="73"/>
      <c r="E587" s="73"/>
      <c r="F587" s="73"/>
      <c r="G587" s="73"/>
    </row>
    <row r="588" ht="15.75" customHeight="1">
      <c r="B588" s="73"/>
      <c r="C588" s="73"/>
      <c r="D588" s="73"/>
      <c r="E588" s="73"/>
      <c r="F588" s="73"/>
      <c r="G588" s="73"/>
    </row>
    <row r="589" ht="15.75" customHeight="1">
      <c r="B589" s="73"/>
      <c r="C589" s="73"/>
      <c r="D589" s="73"/>
      <c r="E589" s="73"/>
      <c r="F589" s="73"/>
      <c r="G589" s="73"/>
    </row>
    <row r="590" ht="15.75" customHeight="1">
      <c r="B590" s="73"/>
      <c r="C590" s="73"/>
      <c r="D590" s="73"/>
      <c r="E590" s="73"/>
      <c r="F590" s="73"/>
      <c r="G590" s="73"/>
    </row>
    <row r="591" ht="15.75" customHeight="1">
      <c r="B591" s="73"/>
      <c r="C591" s="73"/>
      <c r="D591" s="73"/>
      <c r="E591" s="73"/>
      <c r="F591" s="73"/>
      <c r="G591" s="73"/>
    </row>
    <row r="592" ht="15.75" customHeight="1">
      <c r="B592" s="73"/>
      <c r="C592" s="73"/>
      <c r="D592" s="73"/>
      <c r="E592" s="73"/>
      <c r="F592" s="73"/>
      <c r="G592" s="73"/>
    </row>
    <row r="593" ht="15.75" customHeight="1">
      <c r="B593" s="73"/>
      <c r="C593" s="73"/>
      <c r="D593" s="73"/>
      <c r="E593" s="73"/>
      <c r="F593" s="73"/>
      <c r="G593" s="73"/>
    </row>
    <row r="594" ht="15.75" customHeight="1">
      <c r="B594" s="73"/>
      <c r="C594" s="73"/>
      <c r="D594" s="73"/>
      <c r="E594" s="73"/>
      <c r="F594" s="73"/>
      <c r="G594" s="73"/>
    </row>
    <row r="595" ht="15.75" customHeight="1">
      <c r="B595" s="73"/>
      <c r="C595" s="73"/>
      <c r="D595" s="73"/>
      <c r="E595" s="73"/>
      <c r="F595" s="73"/>
      <c r="G595" s="73"/>
    </row>
    <row r="596" ht="15.75" customHeight="1">
      <c r="B596" s="73"/>
      <c r="C596" s="73"/>
      <c r="D596" s="73"/>
      <c r="E596" s="73"/>
      <c r="F596" s="73"/>
      <c r="G596" s="73"/>
    </row>
    <row r="597" ht="15.75" customHeight="1">
      <c r="B597" s="73"/>
      <c r="C597" s="73"/>
      <c r="D597" s="73"/>
      <c r="E597" s="73"/>
      <c r="F597" s="73"/>
      <c r="G597" s="73"/>
    </row>
    <row r="598" ht="15.75" customHeight="1">
      <c r="B598" s="73"/>
      <c r="C598" s="73"/>
      <c r="D598" s="73"/>
      <c r="E598" s="73"/>
      <c r="F598" s="73"/>
      <c r="G598" s="73"/>
    </row>
    <row r="599" ht="15.75" customHeight="1">
      <c r="B599" s="73"/>
      <c r="C599" s="73"/>
      <c r="D599" s="73"/>
      <c r="E599" s="73"/>
      <c r="F599" s="73"/>
      <c r="G599" s="73"/>
    </row>
    <row r="600" ht="15.75" customHeight="1">
      <c r="B600" s="73"/>
      <c r="C600" s="73"/>
      <c r="D600" s="73"/>
      <c r="E600" s="73"/>
      <c r="F600" s="73"/>
      <c r="G600" s="73"/>
    </row>
    <row r="601" ht="15.75" customHeight="1">
      <c r="B601" s="73"/>
      <c r="C601" s="73"/>
      <c r="D601" s="73"/>
      <c r="E601" s="73"/>
      <c r="F601" s="73"/>
      <c r="G601" s="73"/>
    </row>
    <row r="602" ht="15.75" customHeight="1">
      <c r="B602" s="73"/>
      <c r="C602" s="73"/>
      <c r="D602" s="73"/>
      <c r="E602" s="73"/>
      <c r="F602" s="73"/>
      <c r="G602" s="73"/>
    </row>
    <row r="603" ht="15.75" customHeight="1">
      <c r="B603" s="73"/>
      <c r="C603" s="73"/>
      <c r="D603" s="73"/>
      <c r="E603" s="73"/>
      <c r="F603" s="73"/>
      <c r="G603" s="73"/>
    </row>
    <row r="604" ht="15.75" customHeight="1">
      <c r="B604" s="73"/>
      <c r="C604" s="73"/>
      <c r="D604" s="73"/>
      <c r="E604" s="73"/>
      <c r="F604" s="73"/>
      <c r="G604" s="73"/>
    </row>
    <row r="605" ht="15.75" customHeight="1">
      <c r="B605" s="73"/>
      <c r="C605" s="73"/>
      <c r="D605" s="73"/>
      <c r="E605" s="73"/>
      <c r="F605" s="73"/>
      <c r="G605" s="73"/>
    </row>
    <row r="606" ht="15.75" customHeight="1">
      <c r="B606" s="73"/>
      <c r="C606" s="73"/>
      <c r="D606" s="73"/>
      <c r="E606" s="73"/>
      <c r="F606" s="73"/>
      <c r="G606" s="73"/>
    </row>
    <row r="607" ht="15.75" customHeight="1">
      <c r="B607" s="73"/>
      <c r="C607" s="73"/>
      <c r="D607" s="73"/>
      <c r="E607" s="73"/>
      <c r="F607" s="73"/>
      <c r="G607" s="73"/>
    </row>
    <row r="608" ht="15.75" customHeight="1">
      <c r="B608" s="73"/>
      <c r="C608" s="73"/>
      <c r="D608" s="73"/>
      <c r="E608" s="73"/>
      <c r="F608" s="73"/>
      <c r="G608" s="73"/>
    </row>
    <row r="609" ht="15.75" customHeight="1">
      <c r="B609" s="73"/>
      <c r="C609" s="73"/>
      <c r="D609" s="73"/>
      <c r="E609" s="73"/>
      <c r="F609" s="73"/>
      <c r="G609" s="73"/>
    </row>
    <row r="610" ht="15.75" customHeight="1">
      <c r="B610" s="73"/>
      <c r="C610" s="73"/>
      <c r="D610" s="73"/>
      <c r="E610" s="73"/>
      <c r="F610" s="73"/>
      <c r="G610" s="73"/>
    </row>
    <row r="611" ht="15.75" customHeight="1">
      <c r="B611" s="73"/>
      <c r="C611" s="73"/>
      <c r="D611" s="73"/>
      <c r="E611" s="73"/>
      <c r="F611" s="73"/>
      <c r="G611" s="73"/>
    </row>
    <row r="612" ht="15.75" customHeight="1">
      <c r="B612" s="73"/>
      <c r="C612" s="73"/>
      <c r="D612" s="73"/>
      <c r="E612" s="73"/>
      <c r="F612" s="73"/>
      <c r="G612" s="73"/>
    </row>
    <row r="613" ht="15.75" customHeight="1">
      <c r="B613" s="73"/>
      <c r="C613" s="73"/>
      <c r="D613" s="73"/>
      <c r="E613" s="73"/>
      <c r="F613" s="73"/>
      <c r="G613" s="73"/>
    </row>
    <row r="614" ht="15.75" customHeight="1">
      <c r="B614" s="73"/>
      <c r="C614" s="73"/>
      <c r="D614" s="73"/>
      <c r="E614" s="73"/>
      <c r="F614" s="73"/>
      <c r="G614" s="73"/>
    </row>
    <row r="615" ht="15.75" customHeight="1">
      <c r="B615" s="73"/>
      <c r="C615" s="73"/>
      <c r="D615" s="73"/>
      <c r="E615" s="73"/>
      <c r="F615" s="73"/>
      <c r="G615" s="73"/>
    </row>
    <row r="616" ht="15.75" customHeight="1">
      <c r="B616" s="73"/>
      <c r="C616" s="73"/>
      <c r="D616" s="73"/>
      <c r="E616" s="73"/>
      <c r="F616" s="73"/>
      <c r="G616" s="73"/>
    </row>
    <row r="617" ht="15.75" customHeight="1">
      <c r="B617" s="73"/>
      <c r="C617" s="73"/>
      <c r="D617" s="73"/>
      <c r="E617" s="73"/>
      <c r="F617" s="73"/>
      <c r="G617" s="73"/>
    </row>
    <row r="618" ht="15.75" customHeight="1">
      <c r="B618" s="73"/>
      <c r="C618" s="73"/>
      <c r="D618" s="73"/>
      <c r="E618" s="73"/>
      <c r="F618" s="73"/>
      <c r="G618" s="73"/>
    </row>
    <row r="619" ht="15.75" customHeight="1">
      <c r="B619" s="73"/>
      <c r="C619" s="73"/>
      <c r="D619" s="73"/>
      <c r="E619" s="73"/>
      <c r="F619" s="73"/>
      <c r="G619" s="73"/>
    </row>
    <row r="620" ht="15.75" customHeight="1">
      <c r="B620" s="73"/>
      <c r="C620" s="73"/>
      <c r="D620" s="73"/>
      <c r="E620" s="73"/>
      <c r="F620" s="73"/>
      <c r="G620" s="73"/>
    </row>
    <row r="621" ht="15.75" customHeight="1">
      <c r="B621" s="73"/>
      <c r="C621" s="73"/>
      <c r="D621" s="73"/>
      <c r="E621" s="73"/>
      <c r="F621" s="73"/>
      <c r="G621" s="73"/>
    </row>
    <row r="622" ht="15.75" customHeight="1">
      <c r="B622" s="73"/>
      <c r="C622" s="73"/>
      <c r="D622" s="73"/>
      <c r="E622" s="73"/>
      <c r="F622" s="73"/>
      <c r="G622" s="73"/>
    </row>
    <row r="623" ht="15.75" customHeight="1">
      <c r="B623" s="73"/>
      <c r="C623" s="73"/>
      <c r="D623" s="73"/>
      <c r="E623" s="73"/>
      <c r="F623" s="73"/>
      <c r="G623" s="73"/>
    </row>
    <row r="624" ht="15.75" customHeight="1">
      <c r="B624" s="73"/>
      <c r="C624" s="73"/>
      <c r="D624" s="73"/>
      <c r="E624" s="73"/>
      <c r="F624" s="73"/>
      <c r="G624" s="73"/>
    </row>
    <row r="625" ht="15.75" customHeight="1">
      <c r="B625" s="73"/>
      <c r="C625" s="73"/>
      <c r="D625" s="73"/>
      <c r="E625" s="73"/>
      <c r="F625" s="73"/>
      <c r="G625" s="73"/>
    </row>
    <row r="626" ht="15.75" customHeight="1">
      <c r="B626" s="73"/>
      <c r="C626" s="73"/>
      <c r="D626" s="73"/>
      <c r="E626" s="73"/>
      <c r="F626" s="73"/>
      <c r="G626" s="73"/>
    </row>
    <row r="627" ht="15.75" customHeight="1">
      <c r="B627" s="73"/>
      <c r="C627" s="73"/>
      <c r="D627" s="73"/>
      <c r="E627" s="73"/>
      <c r="F627" s="73"/>
      <c r="G627" s="73"/>
    </row>
    <row r="628" ht="15.75" customHeight="1">
      <c r="B628" s="73"/>
      <c r="C628" s="73"/>
      <c r="D628" s="73"/>
      <c r="E628" s="73"/>
      <c r="F628" s="73"/>
      <c r="G628" s="73"/>
    </row>
    <row r="629" ht="15.75" customHeight="1">
      <c r="B629" s="73"/>
      <c r="C629" s="73"/>
      <c r="D629" s="73"/>
      <c r="E629" s="73"/>
      <c r="F629" s="73"/>
      <c r="G629" s="73"/>
    </row>
    <row r="630" ht="15.75" customHeight="1">
      <c r="B630" s="73"/>
      <c r="C630" s="73"/>
      <c r="D630" s="73"/>
      <c r="E630" s="73"/>
      <c r="F630" s="73"/>
      <c r="G630" s="73"/>
    </row>
    <row r="631" ht="15.75" customHeight="1">
      <c r="B631" s="73"/>
      <c r="C631" s="73"/>
      <c r="D631" s="73"/>
      <c r="E631" s="73"/>
      <c r="F631" s="73"/>
      <c r="G631" s="73"/>
    </row>
    <row r="632" ht="15.75" customHeight="1">
      <c r="B632" s="73"/>
      <c r="C632" s="73"/>
      <c r="D632" s="73"/>
      <c r="E632" s="73"/>
      <c r="F632" s="73"/>
      <c r="G632" s="73"/>
    </row>
    <row r="633" ht="15.75" customHeight="1">
      <c r="B633" s="73"/>
      <c r="C633" s="73"/>
      <c r="D633" s="73"/>
      <c r="E633" s="73"/>
      <c r="F633" s="73"/>
      <c r="G633" s="73"/>
    </row>
    <row r="634" ht="15.75" customHeight="1">
      <c r="B634" s="73"/>
      <c r="C634" s="73"/>
      <c r="D634" s="73"/>
      <c r="E634" s="73"/>
      <c r="F634" s="73"/>
      <c r="G634" s="73"/>
    </row>
    <row r="635" ht="15.75" customHeight="1">
      <c r="B635" s="73"/>
      <c r="C635" s="73"/>
      <c r="D635" s="73"/>
      <c r="E635" s="73"/>
      <c r="F635" s="73"/>
      <c r="G635" s="73"/>
    </row>
    <row r="636" ht="15.75" customHeight="1">
      <c r="B636" s="73"/>
      <c r="C636" s="73"/>
      <c r="D636" s="73"/>
      <c r="E636" s="73"/>
      <c r="F636" s="73"/>
      <c r="G636" s="73"/>
    </row>
    <row r="637" ht="15.75" customHeight="1">
      <c r="B637" s="73"/>
      <c r="C637" s="73"/>
      <c r="D637" s="73"/>
      <c r="E637" s="73"/>
      <c r="F637" s="73"/>
      <c r="G637" s="73"/>
    </row>
    <row r="638" ht="15.75" customHeight="1">
      <c r="B638" s="73"/>
      <c r="C638" s="73"/>
      <c r="D638" s="73"/>
      <c r="E638" s="73"/>
      <c r="F638" s="73"/>
      <c r="G638" s="73"/>
    </row>
    <row r="639" ht="15.75" customHeight="1">
      <c r="B639" s="73"/>
      <c r="C639" s="73"/>
      <c r="D639" s="73"/>
      <c r="E639" s="73"/>
      <c r="F639" s="73"/>
      <c r="G639" s="73"/>
    </row>
    <row r="640" ht="15.75" customHeight="1">
      <c r="B640" s="73"/>
      <c r="C640" s="73"/>
      <c r="D640" s="73"/>
      <c r="E640" s="73"/>
      <c r="F640" s="73"/>
      <c r="G640" s="73"/>
    </row>
    <row r="641" ht="15.75" customHeight="1">
      <c r="B641" s="73"/>
      <c r="C641" s="73"/>
      <c r="D641" s="73"/>
      <c r="E641" s="73"/>
      <c r="F641" s="73"/>
      <c r="G641" s="73"/>
    </row>
    <row r="642" ht="15.75" customHeight="1">
      <c r="B642" s="73"/>
      <c r="C642" s="73"/>
      <c r="D642" s="73"/>
      <c r="E642" s="73"/>
      <c r="F642" s="73"/>
      <c r="G642" s="73"/>
    </row>
    <row r="643" ht="15.75" customHeight="1">
      <c r="B643" s="73"/>
      <c r="C643" s="73"/>
      <c r="D643" s="73"/>
      <c r="E643" s="73"/>
      <c r="F643" s="73"/>
      <c r="G643" s="73"/>
    </row>
    <row r="644" ht="15.75" customHeight="1">
      <c r="B644" s="73"/>
      <c r="C644" s="73"/>
      <c r="D644" s="73"/>
      <c r="E644" s="73"/>
      <c r="F644" s="73"/>
      <c r="G644" s="73"/>
    </row>
    <row r="645" ht="15.75" customHeight="1">
      <c r="B645" s="73"/>
      <c r="C645" s="73"/>
      <c r="D645" s="73"/>
      <c r="E645" s="73"/>
      <c r="F645" s="73"/>
      <c r="G645" s="73"/>
    </row>
    <row r="646" ht="15.75" customHeight="1">
      <c r="B646" s="73"/>
      <c r="C646" s="73"/>
      <c r="D646" s="73"/>
      <c r="E646" s="73"/>
      <c r="F646" s="73"/>
      <c r="G646" s="73"/>
    </row>
    <row r="647" ht="15.75" customHeight="1">
      <c r="B647" s="73"/>
      <c r="C647" s="73"/>
      <c r="D647" s="73"/>
      <c r="E647" s="73"/>
      <c r="F647" s="73"/>
      <c r="G647" s="73"/>
    </row>
    <row r="648" ht="15.75" customHeight="1">
      <c r="B648" s="73"/>
      <c r="C648" s="73"/>
      <c r="D648" s="73"/>
      <c r="E648" s="73"/>
      <c r="F648" s="73"/>
      <c r="G648" s="73"/>
    </row>
    <row r="649" ht="15.75" customHeight="1">
      <c r="B649" s="73"/>
      <c r="C649" s="73"/>
      <c r="D649" s="73"/>
      <c r="E649" s="73"/>
      <c r="F649" s="73"/>
      <c r="G649" s="73"/>
    </row>
    <row r="650" ht="15.75" customHeight="1">
      <c r="B650" s="73"/>
      <c r="C650" s="73"/>
      <c r="D650" s="73"/>
      <c r="E650" s="73"/>
      <c r="F650" s="73"/>
      <c r="G650" s="73"/>
    </row>
    <row r="651" ht="15.75" customHeight="1">
      <c r="B651" s="73"/>
      <c r="C651" s="73"/>
      <c r="D651" s="73"/>
      <c r="E651" s="73"/>
      <c r="F651" s="73"/>
      <c r="G651" s="73"/>
    </row>
    <row r="652" ht="15.75" customHeight="1">
      <c r="B652" s="73"/>
      <c r="C652" s="73"/>
      <c r="D652" s="73"/>
      <c r="E652" s="73"/>
      <c r="F652" s="73"/>
      <c r="G652" s="73"/>
    </row>
    <row r="653" ht="15.75" customHeight="1">
      <c r="B653" s="73"/>
      <c r="C653" s="73"/>
      <c r="D653" s="73"/>
      <c r="E653" s="73"/>
      <c r="F653" s="73"/>
      <c r="G653" s="73"/>
    </row>
    <row r="654" ht="15.75" customHeight="1">
      <c r="B654" s="73"/>
      <c r="C654" s="73"/>
      <c r="D654" s="73"/>
      <c r="E654" s="73"/>
      <c r="F654" s="73"/>
      <c r="G654" s="73"/>
    </row>
    <row r="655" ht="15.75" customHeight="1">
      <c r="B655" s="73"/>
      <c r="C655" s="73"/>
      <c r="D655" s="73"/>
      <c r="E655" s="73"/>
      <c r="F655" s="73"/>
      <c r="G655" s="73"/>
    </row>
    <row r="656" ht="15.75" customHeight="1">
      <c r="B656" s="73"/>
      <c r="C656" s="73"/>
      <c r="D656" s="73"/>
      <c r="E656" s="73"/>
      <c r="F656" s="73"/>
      <c r="G656" s="73"/>
    </row>
    <row r="657" ht="15.75" customHeight="1">
      <c r="B657" s="73"/>
      <c r="C657" s="73"/>
      <c r="D657" s="73"/>
      <c r="E657" s="73"/>
      <c r="F657" s="73"/>
      <c r="G657" s="73"/>
    </row>
    <row r="658" ht="15.75" customHeight="1">
      <c r="B658" s="73"/>
      <c r="C658" s="73"/>
      <c r="D658" s="73"/>
      <c r="E658" s="73"/>
      <c r="F658" s="73"/>
      <c r="G658" s="73"/>
    </row>
    <row r="659" ht="15.75" customHeight="1">
      <c r="B659" s="73"/>
      <c r="C659" s="73"/>
      <c r="D659" s="73"/>
      <c r="E659" s="73"/>
      <c r="F659" s="73"/>
      <c r="G659" s="73"/>
    </row>
    <row r="660" ht="15.75" customHeight="1">
      <c r="B660" s="73"/>
      <c r="C660" s="73"/>
      <c r="D660" s="73"/>
      <c r="E660" s="73"/>
      <c r="F660" s="73"/>
      <c r="G660" s="73"/>
    </row>
    <row r="661" ht="15.75" customHeight="1">
      <c r="B661" s="73"/>
      <c r="C661" s="73"/>
      <c r="D661" s="73"/>
      <c r="E661" s="73"/>
      <c r="F661" s="73"/>
      <c r="G661" s="73"/>
    </row>
    <row r="662" ht="15.75" customHeight="1">
      <c r="B662" s="73"/>
      <c r="C662" s="73"/>
      <c r="D662" s="73"/>
      <c r="E662" s="73"/>
      <c r="F662" s="73"/>
      <c r="G662" s="73"/>
    </row>
    <row r="663" ht="15.75" customHeight="1">
      <c r="B663" s="73"/>
      <c r="C663" s="73"/>
      <c r="D663" s="73"/>
      <c r="E663" s="73"/>
      <c r="F663" s="73"/>
      <c r="G663" s="73"/>
    </row>
    <row r="664" ht="15.75" customHeight="1">
      <c r="B664" s="73"/>
      <c r="C664" s="73"/>
      <c r="D664" s="73"/>
      <c r="E664" s="73"/>
      <c r="F664" s="73"/>
      <c r="G664" s="73"/>
    </row>
    <row r="665" ht="15.75" customHeight="1">
      <c r="B665" s="73"/>
      <c r="C665" s="73"/>
      <c r="D665" s="73"/>
      <c r="E665" s="73"/>
      <c r="F665" s="73"/>
      <c r="G665" s="73"/>
    </row>
    <row r="666" ht="15.75" customHeight="1">
      <c r="B666" s="73"/>
      <c r="C666" s="73"/>
      <c r="D666" s="73"/>
      <c r="E666" s="73"/>
      <c r="F666" s="73"/>
      <c r="G666" s="73"/>
    </row>
    <row r="667" ht="15.75" customHeight="1">
      <c r="B667" s="73"/>
      <c r="C667" s="73"/>
      <c r="D667" s="73"/>
      <c r="E667" s="73"/>
      <c r="F667" s="73"/>
      <c r="G667" s="73"/>
    </row>
    <row r="668" ht="15.75" customHeight="1">
      <c r="B668" s="73"/>
      <c r="C668" s="73"/>
      <c r="D668" s="73"/>
      <c r="E668" s="73"/>
      <c r="F668" s="73"/>
      <c r="G668" s="73"/>
    </row>
    <row r="669" ht="15.75" customHeight="1">
      <c r="B669" s="73"/>
      <c r="C669" s="73"/>
      <c r="D669" s="73"/>
      <c r="E669" s="73"/>
      <c r="F669" s="73"/>
      <c r="G669" s="73"/>
    </row>
    <row r="670" ht="15.75" customHeight="1">
      <c r="B670" s="73"/>
      <c r="C670" s="73"/>
      <c r="D670" s="73"/>
      <c r="E670" s="73"/>
      <c r="F670" s="73"/>
      <c r="G670" s="73"/>
    </row>
    <row r="671" ht="15.75" customHeight="1">
      <c r="B671" s="73"/>
      <c r="C671" s="73"/>
      <c r="D671" s="73"/>
      <c r="E671" s="73"/>
      <c r="F671" s="73"/>
      <c r="G671" s="73"/>
    </row>
    <row r="672" ht="15.75" customHeight="1">
      <c r="B672" s="73"/>
      <c r="C672" s="73"/>
      <c r="D672" s="73"/>
      <c r="E672" s="73"/>
      <c r="F672" s="73"/>
      <c r="G672" s="73"/>
    </row>
    <row r="673" ht="15.75" customHeight="1">
      <c r="B673" s="73"/>
      <c r="C673" s="73"/>
      <c r="D673" s="73"/>
      <c r="E673" s="73"/>
      <c r="F673" s="73"/>
      <c r="G673" s="73"/>
    </row>
    <row r="674" ht="15.75" customHeight="1">
      <c r="B674" s="73"/>
      <c r="C674" s="73"/>
      <c r="D674" s="73"/>
      <c r="E674" s="73"/>
      <c r="F674" s="73"/>
      <c r="G674" s="73"/>
    </row>
    <row r="675" ht="15.75" customHeight="1">
      <c r="B675" s="73"/>
      <c r="C675" s="73"/>
      <c r="D675" s="73"/>
      <c r="E675" s="73"/>
      <c r="F675" s="73"/>
      <c r="G675" s="73"/>
    </row>
    <row r="676" ht="15.75" customHeight="1">
      <c r="B676" s="73"/>
      <c r="C676" s="73"/>
      <c r="D676" s="73"/>
      <c r="E676" s="73"/>
      <c r="F676" s="73"/>
      <c r="G676" s="73"/>
    </row>
    <row r="677" ht="15.75" customHeight="1">
      <c r="B677" s="73"/>
      <c r="C677" s="73"/>
      <c r="D677" s="73"/>
      <c r="E677" s="73"/>
      <c r="F677" s="73"/>
      <c r="G677" s="73"/>
    </row>
    <row r="678" ht="15.75" customHeight="1">
      <c r="B678" s="73"/>
      <c r="C678" s="73"/>
      <c r="D678" s="73"/>
      <c r="E678" s="73"/>
      <c r="F678" s="73"/>
      <c r="G678" s="73"/>
    </row>
    <row r="679" ht="15.75" customHeight="1">
      <c r="B679" s="73"/>
      <c r="C679" s="73"/>
      <c r="D679" s="73"/>
      <c r="E679" s="73"/>
      <c r="F679" s="73"/>
      <c r="G679" s="73"/>
    </row>
    <row r="680" ht="15.75" customHeight="1">
      <c r="B680" s="73"/>
      <c r="C680" s="73"/>
      <c r="D680" s="73"/>
      <c r="E680" s="73"/>
      <c r="F680" s="73"/>
      <c r="G680" s="73"/>
    </row>
    <row r="681" ht="15.75" customHeight="1">
      <c r="B681" s="73"/>
      <c r="C681" s="73"/>
      <c r="D681" s="73"/>
      <c r="E681" s="73"/>
      <c r="F681" s="73"/>
      <c r="G681" s="73"/>
    </row>
    <row r="682" ht="15.75" customHeight="1">
      <c r="B682" s="73"/>
      <c r="C682" s="73"/>
      <c r="D682" s="73"/>
      <c r="E682" s="73"/>
      <c r="F682" s="73"/>
      <c r="G682" s="73"/>
    </row>
    <row r="683" ht="15.75" customHeight="1">
      <c r="B683" s="73"/>
      <c r="C683" s="73"/>
      <c r="D683" s="73"/>
      <c r="E683" s="73"/>
      <c r="F683" s="73"/>
      <c r="G683" s="73"/>
    </row>
    <row r="684" ht="15.75" customHeight="1">
      <c r="B684" s="73"/>
      <c r="C684" s="73"/>
      <c r="D684" s="73"/>
      <c r="E684" s="73"/>
      <c r="F684" s="73"/>
      <c r="G684" s="73"/>
    </row>
    <row r="685" ht="15.75" customHeight="1">
      <c r="B685" s="73"/>
      <c r="C685" s="73"/>
      <c r="D685" s="73"/>
      <c r="E685" s="73"/>
      <c r="F685" s="73"/>
      <c r="G685" s="73"/>
    </row>
    <row r="686" ht="15.75" customHeight="1">
      <c r="B686" s="73"/>
      <c r="C686" s="73"/>
      <c r="D686" s="73"/>
      <c r="E686" s="73"/>
      <c r="F686" s="73"/>
      <c r="G686" s="73"/>
    </row>
    <row r="687" ht="15.75" customHeight="1">
      <c r="B687" s="73"/>
      <c r="C687" s="73"/>
      <c r="D687" s="73"/>
      <c r="E687" s="73"/>
      <c r="F687" s="73"/>
      <c r="G687" s="73"/>
    </row>
    <row r="688" ht="15.75" customHeight="1">
      <c r="B688" s="73"/>
      <c r="C688" s="73"/>
      <c r="D688" s="73"/>
      <c r="E688" s="73"/>
      <c r="F688" s="73"/>
      <c r="G688" s="73"/>
    </row>
    <row r="689" ht="15.75" customHeight="1">
      <c r="B689" s="73"/>
      <c r="C689" s="73"/>
      <c r="D689" s="73"/>
      <c r="E689" s="73"/>
      <c r="F689" s="73"/>
      <c r="G689" s="73"/>
    </row>
    <row r="690" ht="15.75" customHeight="1">
      <c r="B690" s="73"/>
      <c r="C690" s="73"/>
      <c r="D690" s="73"/>
      <c r="E690" s="73"/>
      <c r="F690" s="73"/>
      <c r="G690" s="73"/>
    </row>
    <row r="691" ht="15.75" customHeight="1">
      <c r="B691" s="73"/>
      <c r="C691" s="73"/>
      <c r="D691" s="73"/>
      <c r="E691" s="73"/>
      <c r="F691" s="73"/>
      <c r="G691" s="73"/>
    </row>
    <row r="692" ht="15.75" customHeight="1">
      <c r="B692" s="73"/>
      <c r="C692" s="73"/>
      <c r="D692" s="73"/>
      <c r="E692" s="73"/>
      <c r="F692" s="73"/>
      <c r="G692" s="73"/>
    </row>
    <row r="693" ht="15.75" customHeight="1">
      <c r="B693" s="73"/>
      <c r="C693" s="73"/>
      <c r="D693" s="73"/>
      <c r="E693" s="73"/>
      <c r="F693" s="73"/>
      <c r="G693" s="73"/>
    </row>
    <row r="694" ht="15.75" customHeight="1">
      <c r="B694" s="73"/>
      <c r="C694" s="73"/>
      <c r="D694" s="73"/>
      <c r="E694" s="73"/>
      <c r="F694" s="73"/>
      <c r="G694" s="73"/>
    </row>
    <row r="695" ht="15.75" customHeight="1">
      <c r="B695" s="73"/>
      <c r="C695" s="73"/>
      <c r="D695" s="73"/>
      <c r="E695" s="73"/>
      <c r="F695" s="73"/>
      <c r="G695" s="73"/>
    </row>
    <row r="696" ht="15.75" customHeight="1">
      <c r="B696" s="73"/>
      <c r="C696" s="73"/>
      <c r="D696" s="73"/>
      <c r="E696" s="73"/>
      <c r="F696" s="73"/>
      <c r="G696" s="73"/>
    </row>
    <row r="697" ht="15.75" customHeight="1">
      <c r="B697" s="73"/>
      <c r="C697" s="73"/>
      <c r="D697" s="73"/>
      <c r="E697" s="73"/>
      <c r="F697" s="73"/>
      <c r="G697" s="73"/>
    </row>
    <row r="698" ht="15.75" customHeight="1">
      <c r="B698" s="73"/>
      <c r="C698" s="73"/>
      <c r="D698" s="73"/>
      <c r="E698" s="73"/>
      <c r="F698" s="73"/>
      <c r="G698" s="73"/>
    </row>
    <row r="699" ht="15.75" customHeight="1">
      <c r="B699" s="73"/>
      <c r="C699" s="73"/>
      <c r="D699" s="73"/>
      <c r="E699" s="73"/>
      <c r="F699" s="73"/>
      <c r="G699" s="73"/>
    </row>
    <row r="700" ht="15.75" customHeight="1">
      <c r="B700" s="73"/>
      <c r="C700" s="73"/>
      <c r="D700" s="73"/>
      <c r="E700" s="73"/>
      <c r="F700" s="73"/>
      <c r="G700" s="73"/>
    </row>
    <row r="701" ht="15.75" customHeight="1">
      <c r="B701" s="73"/>
      <c r="C701" s="73"/>
      <c r="D701" s="73"/>
      <c r="E701" s="73"/>
      <c r="F701" s="73"/>
      <c r="G701" s="73"/>
    </row>
    <row r="702" ht="15.75" customHeight="1">
      <c r="B702" s="73"/>
      <c r="C702" s="73"/>
      <c r="D702" s="73"/>
      <c r="E702" s="73"/>
      <c r="F702" s="73"/>
      <c r="G702" s="73"/>
    </row>
    <row r="703" ht="15.75" customHeight="1">
      <c r="B703" s="73"/>
      <c r="C703" s="73"/>
      <c r="D703" s="73"/>
      <c r="E703" s="73"/>
      <c r="F703" s="73"/>
      <c r="G703" s="73"/>
    </row>
    <row r="704" ht="15.75" customHeight="1">
      <c r="B704" s="73"/>
      <c r="C704" s="73"/>
      <c r="D704" s="73"/>
      <c r="E704" s="73"/>
      <c r="F704" s="73"/>
      <c r="G704" s="73"/>
    </row>
    <row r="705" ht="15.75" customHeight="1">
      <c r="B705" s="73"/>
      <c r="C705" s="73"/>
      <c r="D705" s="73"/>
      <c r="E705" s="73"/>
      <c r="F705" s="73"/>
      <c r="G705" s="73"/>
    </row>
    <row r="706" ht="15.75" customHeight="1">
      <c r="B706" s="73"/>
      <c r="C706" s="73"/>
      <c r="D706" s="73"/>
      <c r="E706" s="73"/>
      <c r="F706" s="73"/>
      <c r="G706" s="73"/>
    </row>
    <row r="707" ht="15.75" customHeight="1">
      <c r="B707" s="73"/>
      <c r="C707" s="73"/>
      <c r="D707" s="73"/>
      <c r="E707" s="73"/>
      <c r="F707" s="73"/>
      <c r="G707" s="73"/>
    </row>
    <row r="708" ht="15.75" customHeight="1">
      <c r="B708" s="73"/>
      <c r="C708" s="73"/>
      <c r="D708" s="73"/>
      <c r="E708" s="73"/>
      <c r="F708" s="73"/>
      <c r="G708" s="73"/>
    </row>
    <row r="709" ht="15.75" customHeight="1">
      <c r="B709" s="73"/>
      <c r="C709" s="73"/>
      <c r="D709" s="73"/>
      <c r="E709" s="73"/>
      <c r="F709" s="73"/>
      <c r="G709" s="73"/>
    </row>
    <row r="710" ht="15.75" customHeight="1">
      <c r="B710" s="73"/>
      <c r="C710" s="73"/>
      <c r="D710" s="73"/>
      <c r="E710" s="73"/>
      <c r="F710" s="73"/>
      <c r="G710" s="73"/>
    </row>
    <row r="711" ht="15.75" customHeight="1">
      <c r="B711" s="73"/>
      <c r="C711" s="73"/>
      <c r="D711" s="73"/>
      <c r="E711" s="73"/>
      <c r="F711" s="73"/>
      <c r="G711" s="73"/>
    </row>
    <row r="712" ht="15.75" customHeight="1">
      <c r="B712" s="73"/>
      <c r="C712" s="73"/>
      <c r="D712" s="73"/>
      <c r="E712" s="73"/>
      <c r="F712" s="73"/>
      <c r="G712" s="73"/>
    </row>
    <row r="713" ht="15.75" customHeight="1">
      <c r="B713" s="73"/>
      <c r="C713" s="73"/>
      <c r="D713" s="73"/>
      <c r="E713" s="73"/>
      <c r="F713" s="73"/>
      <c r="G713" s="73"/>
    </row>
    <row r="714" ht="15.75" customHeight="1">
      <c r="B714" s="73"/>
      <c r="C714" s="73"/>
      <c r="D714" s="73"/>
      <c r="E714" s="73"/>
      <c r="F714" s="73"/>
      <c r="G714" s="73"/>
    </row>
    <row r="715" ht="15.75" customHeight="1">
      <c r="B715" s="73"/>
      <c r="C715" s="73"/>
      <c r="D715" s="73"/>
      <c r="E715" s="73"/>
      <c r="F715" s="73"/>
      <c r="G715" s="73"/>
    </row>
    <row r="716" ht="15.75" customHeight="1">
      <c r="B716" s="73"/>
      <c r="C716" s="73"/>
      <c r="D716" s="73"/>
      <c r="E716" s="73"/>
      <c r="F716" s="73"/>
      <c r="G716" s="73"/>
    </row>
    <row r="717" ht="15.75" customHeight="1">
      <c r="B717" s="73"/>
      <c r="C717" s="73"/>
      <c r="D717" s="73"/>
      <c r="E717" s="73"/>
      <c r="F717" s="73"/>
      <c r="G717" s="73"/>
    </row>
    <row r="718" ht="15.75" customHeight="1">
      <c r="B718" s="73"/>
      <c r="C718" s="73"/>
      <c r="D718" s="73"/>
      <c r="E718" s="73"/>
      <c r="F718" s="73"/>
      <c r="G718" s="73"/>
    </row>
    <row r="719" ht="15.75" customHeight="1">
      <c r="B719" s="73"/>
      <c r="C719" s="73"/>
      <c r="D719" s="73"/>
      <c r="E719" s="73"/>
      <c r="F719" s="73"/>
      <c r="G719" s="73"/>
    </row>
    <row r="720" ht="15.75" customHeight="1">
      <c r="B720" s="73"/>
      <c r="C720" s="73"/>
      <c r="D720" s="73"/>
      <c r="E720" s="73"/>
      <c r="F720" s="73"/>
      <c r="G720" s="73"/>
    </row>
    <row r="721" ht="15.75" customHeight="1">
      <c r="B721" s="73"/>
      <c r="C721" s="73"/>
      <c r="D721" s="73"/>
      <c r="E721" s="73"/>
      <c r="F721" s="73"/>
      <c r="G721" s="73"/>
    </row>
    <row r="722" ht="15.75" customHeight="1">
      <c r="B722" s="73"/>
      <c r="C722" s="73"/>
      <c r="D722" s="73"/>
      <c r="E722" s="73"/>
      <c r="F722" s="73"/>
      <c r="G722" s="73"/>
    </row>
    <row r="723" ht="15.75" customHeight="1">
      <c r="B723" s="73"/>
      <c r="C723" s="73"/>
      <c r="D723" s="73"/>
      <c r="E723" s="73"/>
      <c r="F723" s="73"/>
      <c r="G723" s="73"/>
    </row>
    <row r="724" ht="15.75" customHeight="1">
      <c r="B724" s="73"/>
      <c r="C724" s="73"/>
      <c r="D724" s="73"/>
      <c r="E724" s="73"/>
      <c r="F724" s="73"/>
      <c r="G724" s="73"/>
    </row>
    <row r="725" ht="15.75" customHeight="1">
      <c r="B725" s="73"/>
      <c r="C725" s="73"/>
      <c r="D725" s="73"/>
      <c r="E725" s="73"/>
      <c r="F725" s="73"/>
      <c r="G725" s="73"/>
    </row>
    <row r="726" ht="15.75" customHeight="1">
      <c r="B726" s="73"/>
      <c r="C726" s="73"/>
      <c r="D726" s="73"/>
      <c r="E726" s="73"/>
      <c r="F726" s="73"/>
      <c r="G726" s="73"/>
    </row>
    <row r="727" ht="15.75" customHeight="1">
      <c r="B727" s="73"/>
      <c r="C727" s="73"/>
      <c r="D727" s="73"/>
      <c r="E727" s="73"/>
      <c r="F727" s="73"/>
      <c r="G727" s="73"/>
    </row>
    <row r="728" ht="15.75" customHeight="1">
      <c r="B728" s="73"/>
      <c r="C728" s="73"/>
      <c r="D728" s="73"/>
      <c r="E728" s="73"/>
      <c r="F728" s="73"/>
      <c r="G728" s="73"/>
    </row>
    <row r="729" ht="15.75" customHeight="1">
      <c r="B729" s="73"/>
      <c r="C729" s="73"/>
      <c r="D729" s="73"/>
      <c r="E729" s="73"/>
      <c r="F729" s="73"/>
      <c r="G729" s="73"/>
    </row>
    <row r="730" ht="15.75" customHeight="1">
      <c r="B730" s="73"/>
      <c r="C730" s="73"/>
      <c r="D730" s="73"/>
      <c r="E730" s="73"/>
      <c r="F730" s="73"/>
      <c r="G730" s="73"/>
    </row>
    <row r="731" ht="15.75" customHeight="1">
      <c r="B731" s="73"/>
      <c r="C731" s="73"/>
      <c r="D731" s="73"/>
      <c r="E731" s="73"/>
      <c r="F731" s="73"/>
      <c r="G731" s="73"/>
    </row>
    <row r="732" ht="15.75" customHeight="1">
      <c r="B732" s="73"/>
      <c r="C732" s="73"/>
      <c r="D732" s="73"/>
      <c r="E732" s="73"/>
      <c r="F732" s="73"/>
      <c r="G732" s="73"/>
    </row>
    <row r="733" ht="15.75" customHeight="1">
      <c r="B733" s="73"/>
      <c r="C733" s="73"/>
      <c r="D733" s="73"/>
      <c r="E733" s="73"/>
      <c r="F733" s="73"/>
      <c r="G733" s="73"/>
    </row>
    <row r="734" ht="15.75" customHeight="1">
      <c r="B734" s="73"/>
      <c r="C734" s="73"/>
      <c r="D734" s="73"/>
      <c r="E734" s="73"/>
      <c r="F734" s="73"/>
      <c r="G734" s="73"/>
    </row>
    <row r="735" ht="15.75" customHeight="1">
      <c r="B735" s="73"/>
      <c r="C735" s="73"/>
      <c r="D735" s="73"/>
      <c r="E735" s="73"/>
      <c r="F735" s="73"/>
      <c r="G735" s="73"/>
    </row>
    <row r="736" ht="15.75" customHeight="1">
      <c r="B736" s="73"/>
      <c r="C736" s="73"/>
      <c r="D736" s="73"/>
      <c r="E736" s="73"/>
      <c r="F736" s="73"/>
      <c r="G736" s="73"/>
    </row>
    <row r="737" ht="15.75" customHeight="1">
      <c r="B737" s="73"/>
      <c r="C737" s="73"/>
      <c r="D737" s="73"/>
      <c r="E737" s="73"/>
      <c r="F737" s="73"/>
      <c r="G737" s="73"/>
    </row>
    <row r="738" ht="15.75" customHeight="1">
      <c r="B738" s="73"/>
      <c r="C738" s="73"/>
      <c r="D738" s="73"/>
      <c r="E738" s="73"/>
      <c r="F738" s="73"/>
      <c r="G738" s="73"/>
    </row>
    <row r="739" ht="15.75" customHeight="1">
      <c r="B739" s="73"/>
      <c r="C739" s="73"/>
      <c r="D739" s="73"/>
      <c r="E739" s="73"/>
      <c r="F739" s="73"/>
      <c r="G739" s="73"/>
    </row>
    <row r="740" ht="15.75" customHeight="1">
      <c r="B740" s="73"/>
      <c r="C740" s="73"/>
      <c r="D740" s="73"/>
      <c r="E740" s="73"/>
      <c r="F740" s="73"/>
      <c r="G740" s="73"/>
    </row>
    <row r="741" ht="15.75" customHeight="1">
      <c r="B741" s="73"/>
      <c r="C741" s="73"/>
      <c r="D741" s="73"/>
      <c r="E741" s="73"/>
      <c r="F741" s="73"/>
      <c r="G741" s="73"/>
    </row>
    <row r="742" ht="15.75" customHeight="1">
      <c r="B742" s="73"/>
      <c r="C742" s="73"/>
      <c r="D742" s="73"/>
      <c r="E742" s="73"/>
      <c r="F742" s="73"/>
      <c r="G742" s="73"/>
    </row>
    <row r="743" ht="15.75" customHeight="1">
      <c r="B743" s="73"/>
      <c r="C743" s="73"/>
      <c r="D743" s="73"/>
      <c r="E743" s="73"/>
      <c r="F743" s="73"/>
      <c r="G743" s="73"/>
    </row>
    <row r="744" ht="15.75" customHeight="1">
      <c r="B744" s="73"/>
      <c r="C744" s="73"/>
      <c r="D744" s="73"/>
      <c r="E744" s="73"/>
      <c r="F744" s="73"/>
      <c r="G744" s="73"/>
    </row>
    <row r="745" ht="15.75" customHeight="1">
      <c r="B745" s="73"/>
      <c r="C745" s="73"/>
      <c r="D745" s="73"/>
      <c r="E745" s="73"/>
      <c r="F745" s="73"/>
      <c r="G745" s="73"/>
    </row>
    <row r="746" ht="15.75" customHeight="1">
      <c r="B746" s="73"/>
      <c r="C746" s="73"/>
      <c r="D746" s="73"/>
      <c r="E746" s="73"/>
      <c r="F746" s="73"/>
      <c r="G746" s="73"/>
    </row>
    <row r="747" ht="15.75" customHeight="1">
      <c r="B747" s="73"/>
      <c r="C747" s="73"/>
      <c r="D747" s="73"/>
      <c r="E747" s="73"/>
      <c r="F747" s="73"/>
      <c r="G747" s="73"/>
    </row>
    <row r="748" ht="15.75" customHeight="1">
      <c r="B748" s="73"/>
      <c r="C748" s="73"/>
      <c r="D748" s="73"/>
      <c r="E748" s="73"/>
      <c r="F748" s="73"/>
      <c r="G748" s="73"/>
    </row>
    <row r="749" ht="15.75" customHeight="1">
      <c r="B749" s="73"/>
      <c r="C749" s="73"/>
      <c r="D749" s="73"/>
      <c r="E749" s="73"/>
      <c r="F749" s="73"/>
      <c r="G749" s="73"/>
    </row>
    <row r="750" ht="15.75" customHeight="1">
      <c r="B750" s="73"/>
      <c r="C750" s="73"/>
      <c r="D750" s="73"/>
      <c r="E750" s="73"/>
      <c r="F750" s="73"/>
      <c r="G750" s="73"/>
    </row>
    <row r="751" ht="15.75" customHeight="1">
      <c r="B751" s="73"/>
      <c r="C751" s="73"/>
      <c r="D751" s="73"/>
      <c r="E751" s="73"/>
      <c r="F751" s="73"/>
      <c r="G751" s="73"/>
    </row>
    <row r="752" ht="15.75" customHeight="1">
      <c r="B752" s="73"/>
      <c r="C752" s="73"/>
      <c r="D752" s="73"/>
      <c r="E752" s="73"/>
      <c r="F752" s="73"/>
      <c r="G752" s="73"/>
    </row>
    <row r="753" ht="15.75" customHeight="1">
      <c r="B753" s="73"/>
      <c r="C753" s="73"/>
      <c r="D753" s="73"/>
      <c r="E753" s="73"/>
      <c r="F753" s="73"/>
      <c r="G753" s="73"/>
    </row>
    <row r="754" ht="15.75" customHeight="1">
      <c r="B754" s="73"/>
      <c r="C754" s="73"/>
      <c r="D754" s="73"/>
      <c r="E754" s="73"/>
      <c r="F754" s="73"/>
      <c r="G754" s="73"/>
    </row>
    <row r="755" ht="15.75" customHeight="1">
      <c r="B755" s="73"/>
      <c r="C755" s="73"/>
      <c r="D755" s="73"/>
      <c r="E755" s="73"/>
      <c r="F755" s="73"/>
      <c r="G755" s="73"/>
    </row>
    <row r="756" ht="15.75" customHeight="1">
      <c r="B756" s="73"/>
      <c r="C756" s="73"/>
      <c r="D756" s="73"/>
      <c r="E756" s="73"/>
      <c r="F756" s="73"/>
      <c r="G756" s="73"/>
    </row>
    <row r="757" ht="15.75" customHeight="1">
      <c r="B757" s="73"/>
      <c r="C757" s="73"/>
      <c r="D757" s="73"/>
      <c r="E757" s="73"/>
      <c r="F757" s="73"/>
      <c r="G757" s="73"/>
    </row>
    <row r="758" ht="15.75" customHeight="1">
      <c r="B758" s="73"/>
      <c r="C758" s="73"/>
      <c r="D758" s="73"/>
      <c r="E758" s="73"/>
      <c r="F758" s="73"/>
      <c r="G758" s="73"/>
    </row>
    <row r="759" ht="15.75" customHeight="1">
      <c r="B759" s="73"/>
      <c r="C759" s="73"/>
      <c r="D759" s="73"/>
      <c r="E759" s="73"/>
      <c r="F759" s="73"/>
      <c r="G759" s="73"/>
    </row>
    <row r="760" ht="15.75" customHeight="1">
      <c r="B760" s="73"/>
      <c r="C760" s="73"/>
      <c r="D760" s="73"/>
      <c r="E760" s="73"/>
      <c r="F760" s="73"/>
      <c r="G760" s="73"/>
    </row>
    <row r="761" ht="15.75" customHeight="1">
      <c r="B761" s="73"/>
      <c r="C761" s="73"/>
      <c r="D761" s="73"/>
      <c r="E761" s="73"/>
      <c r="F761" s="73"/>
      <c r="G761" s="73"/>
    </row>
    <row r="762" ht="15.75" customHeight="1">
      <c r="B762" s="73"/>
      <c r="C762" s="73"/>
      <c r="D762" s="73"/>
      <c r="E762" s="73"/>
      <c r="F762" s="73"/>
      <c r="G762" s="73"/>
    </row>
    <row r="763" ht="15.75" customHeight="1">
      <c r="B763" s="73"/>
      <c r="C763" s="73"/>
      <c r="D763" s="73"/>
      <c r="E763" s="73"/>
      <c r="F763" s="73"/>
      <c r="G763" s="73"/>
    </row>
    <row r="764" ht="15.75" customHeight="1">
      <c r="B764" s="73"/>
      <c r="C764" s="73"/>
      <c r="D764" s="73"/>
      <c r="E764" s="73"/>
      <c r="F764" s="73"/>
      <c r="G764" s="73"/>
    </row>
    <row r="765" ht="15.75" customHeight="1">
      <c r="B765" s="73"/>
      <c r="C765" s="73"/>
      <c r="D765" s="73"/>
      <c r="E765" s="73"/>
      <c r="F765" s="73"/>
      <c r="G765" s="73"/>
    </row>
    <row r="766" ht="15.75" customHeight="1">
      <c r="B766" s="73"/>
      <c r="C766" s="73"/>
      <c r="D766" s="73"/>
      <c r="E766" s="73"/>
      <c r="F766" s="73"/>
      <c r="G766" s="73"/>
    </row>
    <row r="767" ht="15.75" customHeight="1">
      <c r="B767" s="73"/>
      <c r="C767" s="73"/>
      <c r="D767" s="73"/>
      <c r="E767" s="73"/>
      <c r="F767" s="73"/>
      <c r="G767" s="73"/>
    </row>
    <row r="768" ht="15.75" customHeight="1">
      <c r="B768" s="73"/>
      <c r="C768" s="73"/>
      <c r="D768" s="73"/>
      <c r="E768" s="73"/>
      <c r="F768" s="73"/>
      <c r="G768" s="73"/>
    </row>
    <row r="769" ht="15.75" customHeight="1">
      <c r="B769" s="73"/>
      <c r="C769" s="73"/>
      <c r="D769" s="73"/>
      <c r="E769" s="73"/>
      <c r="F769" s="73"/>
      <c r="G769" s="73"/>
    </row>
    <row r="770" ht="15.75" customHeight="1">
      <c r="B770" s="73"/>
      <c r="C770" s="73"/>
      <c r="D770" s="73"/>
      <c r="E770" s="73"/>
      <c r="F770" s="73"/>
      <c r="G770" s="73"/>
    </row>
    <row r="771" ht="15.75" customHeight="1">
      <c r="B771" s="73"/>
      <c r="C771" s="73"/>
      <c r="D771" s="73"/>
      <c r="E771" s="73"/>
      <c r="F771" s="73"/>
      <c r="G771" s="73"/>
    </row>
    <row r="772" ht="15.75" customHeight="1">
      <c r="B772" s="73"/>
      <c r="C772" s="73"/>
      <c r="D772" s="73"/>
      <c r="E772" s="73"/>
      <c r="F772" s="73"/>
      <c r="G772" s="73"/>
    </row>
    <row r="773" ht="15.75" customHeight="1">
      <c r="B773" s="73"/>
      <c r="C773" s="73"/>
      <c r="D773" s="73"/>
      <c r="E773" s="73"/>
      <c r="F773" s="73"/>
      <c r="G773" s="73"/>
    </row>
    <row r="774" ht="15.75" customHeight="1">
      <c r="B774" s="73"/>
      <c r="C774" s="73"/>
      <c r="D774" s="73"/>
      <c r="E774" s="73"/>
      <c r="F774" s="73"/>
      <c r="G774" s="73"/>
    </row>
    <row r="775" ht="15.75" customHeight="1">
      <c r="B775" s="73"/>
      <c r="C775" s="73"/>
      <c r="D775" s="73"/>
      <c r="E775" s="73"/>
      <c r="F775" s="73"/>
      <c r="G775" s="73"/>
    </row>
    <row r="776" ht="15.75" customHeight="1">
      <c r="B776" s="73"/>
      <c r="C776" s="73"/>
      <c r="D776" s="73"/>
      <c r="E776" s="73"/>
      <c r="F776" s="73"/>
      <c r="G776" s="73"/>
    </row>
    <row r="777" ht="15.75" customHeight="1">
      <c r="B777" s="73"/>
      <c r="C777" s="73"/>
      <c r="D777" s="73"/>
      <c r="E777" s="73"/>
      <c r="F777" s="73"/>
      <c r="G777" s="73"/>
    </row>
    <row r="778" ht="15.75" customHeight="1">
      <c r="B778" s="73"/>
      <c r="C778" s="73"/>
      <c r="D778" s="73"/>
      <c r="E778" s="73"/>
      <c r="F778" s="73"/>
      <c r="G778" s="73"/>
    </row>
    <row r="779" ht="15.75" customHeight="1">
      <c r="B779" s="73"/>
      <c r="C779" s="73"/>
      <c r="D779" s="73"/>
      <c r="E779" s="73"/>
      <c r="F779" s="73"/>
      <c r="G779" s="73"/>
    </row>
    <row r="780" ht="15.75" customHeight="1">
      <c r="B780" s="73"/>
      <c r="C780" s="73"/>
      <c r="D780" s="73"/>
      <c r="E780" s="73"/>
      <c r="F780" s="73"/>
      <c r="G780" s="73"/>
    </row>
    <row r="781" ht="15.75" customHeight="1">
      <c r="B781" s="73"/>
      <c r="C781" s="73"/>
      <c r="D781" s="73"/>
      <c r="E781" s="73"/>
      <c r="F781" s="73"/>
      <c r="G781" s="73"/>
    </row>
    <row r="782" ht="15.75" customHeight="1">
      <c r="B782" s="73"/>
      <c r="C782" s="73"/>
      <c r="D782" s="73"/>
      <c r="E782" s="73"/>
      <c r="F782" s="73"/>
      <c r="G782" s="73"/>
    </row>
    <row r="783" ht="15.75" customHeight="1">
      <c r="B783" s="73"/>
      <c r="C783" s="73"/>
      <c r="D783" s="73"/>
      <c r="E783" s="73"/>
      <c r="F783" s="73"/>
      <c r="G783" s="73"/>
    </row>
    <row r="784" ht="15.75" customHeight="1">
      <c r="B784" s="73"/>
      <c r="C784" s="73"/>
      <c r="D784" s="73"/>
      <c r="E784" s="73"/>
      <c r="F784" s="73"/>
      <c r="G784" s="73"/>
    </row>
    <row r="785" ht="15.75" customHeight="1">
      <c r="B785" s="73"/>
      <c r="C785" s="73"/>
      <c r="D785" s="73"/>
      <c r="E785" s="73"/>
      <c r="F785" s="73"/>
      <c r="G785" s="73"/>
    </row>
    <row r="786" ht="15.75" customHeight="1">
      <c r="B786" s="73"/>
      <c r="C786" s="73"/>
      <c r="D786" s="73"/>
      <c r="E786" s="73"/>
      <c r="F786" s="73"/>
      <c r="G786" s="73"/>
    </row>
    <row r="787" ht="15.75" customHeight="1">
      <c r="B787" s="73"/>
      <c r="C787" s="73"/>
      <c r="D787" s="73"/>
      <c r="E787" s="73"/>
      <c r="F787" s="73"/>
      <c r="G787" s="73"/>
    </row>
    <row r="788" ht="15.75" customHeight="1">
      <c r="B788" s="73"/>
      <c r="C788" s="73"/>
      <c r="D788" s="73"/>
      <c r="E788" s="73"/>
      <c r="F788" s="73"/>
      <c r="G788" s="73"/>
    </row>
    <row r="789" ht="15.75" customHeight="1">
      <c r="B789" s="73"/>
      <c r="C789" s="73"/>
      <c r="D789" s="73"/>
      <c r="E789" s="73"/>
      <c r="F789" s="73"/>
      <c r="G789" s="73"/>
    </row>
    <row r="790" ht="15.75" customHeight="1">
      <c r="B790" s="73"/>
      <c r="C790" s="73"/>
      <c r="D790" s="73"/>
      <c r="E790" s="73"/>
      <c r="F790" s="73"/>
      <c r="G790" s="73"/>
    </row>
    <row r="791" ht="15.75" customHeight="1">
      <c r="B791" s="73"/>
      <c r="C791" s="73"/>
      <c r="D791" s="73"/>
      <c r="E791" s="73"/>
      <c r="F791" s="73"/>
      <c r="G791" s="73"/>
    </row>
    <row r="792" ht="15.75" customHeight="1">
      <c r="B792" s="73"/>
      <c r="C792" s="73"/>
      <c r="D792" s="73"/>
      <c r="E792" s="73"/>
      <c r="F792" s="73"/>
      <c r="G792" s="73"/>
    </row>
    <row r="793" ht="15.75" customHeight="1">
      <c r="B793" s="73"/>
      <c r="C793" s="73"/>
      <c r="D793" s="73"/>
      <c r="E793" s="73"/>
      <c r="F793" s="73"/>
      <c r="G793" s="73"/>
    </row>
    <row r="794" ht="15.75" customHeight="1">
      <c r="B794" s="73"/>
      <c r="C794" s="73"/>
      <c r="D794" s="73"/>
      <c r="E794" s="73"/>
      <c r="F794" s="73"/>
      <c r="G794" s="73"/>
    </row>
    <row r="795" ht="15.75" customHeight="1">
      <c r="B795" s="73"/>
      <c r="C795" s="73"/>
      <c r="D795" s="73"/>
      <c r="E795" s="73"/>
      <c r="F795" s="73"/>
      <c r="G795" s="73"/>
    </row>
    <row r="796" ht="15.75" customHeight="1">
      <c r="B796" s="73"/>
      <c r="C796" s="73"/>
      <c r="D796" s="73"/>
      <c r="E796" s="73"/>
      <c r="F796" s="73"/>
      <c r="G796" s="73"/>
    </row>
    <row r="797" ht="15.75" customHeight="1">
      <c r="B797" s="73"/>
      <c r="C797" s="73"/>
      <c r="D797" s="73"/>
      <c r="E797" s="73"/>
      <c r="F797" s="73"/>
      <c r="G797" s="73"/>
    </row>
    <row r="798" ht="15.75" customHeight="1">
      <c r="B798" s="73"/>
      <c r="C798" s="73"/>
      <c r="D798" s="73"/>
      <c r="E798" s="73"/>
      <c r="F798" s="73"/>
      <c r="G798" s="73"/>
    </row>
    <row r="799" ht="15.75" customHeight="1">
      <c r="B799" s="73"/>
      <c r="C799" s="73"/>
      <c r="D799" s="73"/>
      <c r="E799" s="73"/>
      <c r="F799" s="73"/>
      <c r="G799" s="73"/>
    </row>
    <row r="800" ht="15.75" customHeight="1">
      <c r="B800" s="73"/>
      <c r="C800" s="73"/>
      <c r="D800" s="73"/>
      <c r="E800" s="73"/>
      <c r="F800" s="73"/>
      <c r="G800" s="73"/>
    </row>
    <row r="801" ht="15.75" customHeight="1">
      <c r="B801" s="73"/>
      <c r="C801" s="73"/>
      <c r="D801" s="73"/>
      <c r="E801" s="73"/>
      <c r="F801" s="73"/>
      <c r="G801" s="73"/>
    </row>
    <row r="802" ht="15.75" customHeight="1">
      <c r="B802" s="73"/>
      <c r="C802" s="73"/>
      <c r="D802" s="73"/>
      <c r="E802" s="73"/>
      <c r="F802" s="73"/>
      <c r="G802" s="73"/>
    </row>
    <row r="803" ht="15.75" customHeight="1">
      <c r="B803" s="73"/>
      <c r="C803" s="73"/>
      <c r="D803" s="73"/>
      <c r="E803" s="73"/>
      <c r="F803" s="73"/>
      <c r="G803" s="73"/>
    </row>
    <row r="804" ht="15.75" customHeight="1">
      <c r="B804" s="73"/>
      <c r="C804" s="73"/>
      <c r="D804" s="73"/>
      <c r="E804" s="73"/>
      <c r="F804" s="73"/>
      <c r="G804" s="73"/>
    </row>
    <row r="805" ht="15.75" customHeight="1">
      <c r="B805" s="73"/>
      <c r="C805" s="73"/>
      <c r="D805" s="73"/>
      <c r="E805" s="73"/>
      <c r="F805" s="73"/>
      <c r="G805" s="73"/>
    </row>
    <row r="806" ht="15.75" customHeight="1">
      <c r="B806" s="73"/>
      <c r="C806" s="73"/>
      <c r="D806" s="73"/>
      <c r="E806" s="73"/>
      <c r="F806" s="73"/>
      <c r="G806" s="73"/>
    </row>
    <row r="807" ht="15.75" customHeight="1">
      <c r="B807" s="73"/>
      <c r="C807" s="73"/>
      <c r="D807" s="73"/>
      <c r="E807" s="73"/>
      <c r="F807" s="73"/>
      <c r="G807" s="73"/>
    </row>
    <row r="808" ht="15.75" customHeight="1">
      <c r="B808" s="73"/>
      <c r="C808" s="73"/>
      <c r="D808" s="73"/>
      <c r="E808" s="73"/>
      <c r="F808" s="73"/>
      <c r="G808" s="73"/>
    </row>
    <row r="809" ht="15.75" customHeight="1">
      <c r="B809" s="73"/>
      <c r="C809" s="73"/>
      <c r="D809" s="73"/>
      <c r="E809" s="73"/>
      <c r="F809" s="73"/>
      <c r="G809" s="73"/>
    </row>
    <row r="810" ht="15.75" customHeight="1">
      <c r="B810" s="73"/>
      <c r="C810" s="73"/>
      <c r="D810" s="73"/>
      <c r="E810" s="73"/>
      <c r="F810" s="73"/>
      <c r="G810" s="73"/>
    </row>
    <row r="811" ht="15.75" customHeight="1">
      <c r="B811" s="73"/>
      <c r="C811" s="73"/>
      <c r="D811" s="73"/>
      <c r="E811" s="73"/>
      <c r="F811" s="73"/>
      <c r="G811" s="73"/>
    </row>
    <row r="812" ht="15.75" customHeight="1">
      <c r="B812" s="73"/>
      <c r="C812" s="73"/>
      <c r="D812" s="73"/>
      <c r="E812" s="73"/>
      <c r="F812" s="73"/>
      <c r="G812" s="73"/>
    </row>
    <row r="813" ht="15.75" customHeight="1">
      <c r="B813" s="73"/>
      <c r="C813" s="73"/>
      <c r="D813" s="73"/>
      <c r="E813" s="73"/>
      <c r="F813" s="73"/>
      <c r="G813" s="73"/>
    </row>
    <row r="814" ht="15.75" customHeight="1">
      <c r="B814" s="73"/>
      <c r="C814" s="73"/>
      <c r="D814" s="73"/>
      <c r="E814" s="73"/>
      <c r="F814" s="73"/>
      <c r="G814" s="73"/>
    </row>
    <row r="815" ht="15.75" customHeight="1">
      <c r="B815" s="73"/>
      <c r="C815" s="73"/>
      <c r="D815" s="73"/>
      <c r="E815" s="73"/>
      <c r="F815" s="73"/>
      <c r="G815" s="73"/>
    </row>
    <row r="816" ht="15.75" customHeight="1">
      <c r="B816" s="73"/>
      <c r="C816" s="73"/>
      <c r="D816" s="73"/>
      <c r="E816" s="73"/>
      <c r="F816" s="73"/>
      <c r="G816" s="73"/>
    </row>
    <row r="817" ht="15.75" customHeight="1">
      <c r="B817" s="73"/>
      <c r="C817" s="73"/>
      <c r="D817" s="73"/>
      <c r="E817" s="73"/>
      <c r="F817" s="73"/>
      <c r="G817" s="73"/>
    </row>
    <row r="818" ht="15.75" customHeight="1">
      <c r="B818" s="73"/>
      <c r="C818" s="73"/>
      <c r="D818" s="73"/>
      <c r="E818" s="73"/>
      <c r="F818" s="73"/>
      <c r="G818" s="73"/>
    </row>
    <row r="819" ht="15.75" customHeight="1">
      <c r="B819" s="73"/>
      <c r="C819" s="73"/>
      <c r="D819" s="73"/>
      <c r="E819" s="73"/>
      <c r="F819" s="73"/>
      <c r="G819" s="73"/>
    </row>
    <row r="820" ht="15.75" customHeight="1">
      <c r="B820" s="73"/>
      <c r="C820" s="73"/>
      <c r="D820" s="73"/>
      <c r="E820" s="73"/>
      <c r="F820" s="73"/>
      <c r="G820" s="73"/>
    </row>
    <row r="821" ht="15.75" customHeight="1">
      <c r="B821" s="73"/>
      <c r="C821" s="73"/>
      <c r="D821" s="73"/>
      <c r="E821" s="73"/>
      <c r="F821" s="73"/>
      <c r="G821" s="73"/>
    </row>
    <row r="822" ht="15.75" customHeight="1">
      <c r="B822" s="73"/>
      <c r="C822" s="73"/>
      <c r="D822" s="73"/>
      <c r="E822" s="73"/>
      <c r="F822" s="73"/>
      <c r="G822" s="73"/>
    </row>
    <row r="823" ht="15.75" customHeight="1">
      <c r="B823" s="73"/>
      <c r="C823" s="73"/>
      <c r="D823" s="73"/>
      <c r="E823" s="73"/>
      <c r="F823" s="73"/>
      <c r="G823" s="73"/>
    </row>
    <row r="824" ht="15.75" customHeight="1">
      <c r="B824" s="73"/>
      <c r="C824" s="73"/>
      <c r="D824" s="73"/>
      <c r="E824" s="73"/>
      <c r="F824" s="73"/>
      <c r="G824" s="73"/>
    </row>
    <row r="825" ht="15.75" customHeight="1">
      <c r="B825" s="73"/>
      <c r="C825" s="73"/>
      <c r="D825" s="73"/>
      <c r="E825" s="73"/>
      <c r="F825" s="73"/>
      <c r="G825" s="73"/>
    </row>
    <row r="826" ht="15.75" customHeight="1">
      <c r="B826" s="73"/>
      <c r="C826" s="73"/>
      <c r="D826" s="73"/>
      <c r="E826" s="73"/>
      <c r="F826" s="73"/>
      <c r="G826" s="73"/>
    </row>
    <row r="827" ht="15.75" customHeight="1">
      <c r="B827" s="73"/>
      <c r="C827" s="73"/>
      <c r="D827" s="73"/>
      <c r="E827" s="73"/>
      <c r="F827" s="73"/>
      <c r="G827" s="73"/>
    </row>
    <row r="828" ht="15.75" customHeight="1">
      <c r="B828" s="73"/>
      <c r="C828" s="73"/>
      <c r="D828" s="73"/>
      <c r="E828" s="73"/>
      <c r="F828" s="73"/>
      <c r="G828" s="73"/>
    </row>
    <row r="829" ht="15.75" customHeight="1">
      <c r="B829" s="73"/>
      <c r="C829" s="73"/>
      <c r="D829" s="73"/>
      <c r="E829" s="73"/>
      <c r="F829" s="73"/>
      <c r="G829" s="73"/>
    </row>
    <row r="830" ht="15.75" customHeight="1">
      <c r="B830" s="73"/>
      <c r="C830" s="73"/>
      <c r="D830" s="73"/>
      <c r="E830" s="73"/>
      <c r="F830" s="73"/>
      <c r="G830" s="73"/>
    </row>
    <row r="831" ht="15.75" customHeight="1">
      <c r="B831" s="73"/>
      <c r="C831" s="73"/>
      <c r="D831" s="73"/>
      <c r="E831" s="73"/>
      <c r="F831" s="73"/>
      <c r="G831" s="73"/>
    </row>
    <row r="832" ht="15.75" customHeight="1">
      <c r="B832" s="73"/>
      <c r="C832" s="73"/>
      <c r="D832" s="73"/>
      <c r="E832" s="73"/>
      <c r="F832" s="73"/>
      <c r="G832" s="73"/>
    </row>
    <row r="833" ht="15.75" customHeight="1">
      <c r="B833" s="73"/>
      <c r="C833" s="73"/>
      <c r="D833" s="73"/>
      <c r="E833" s="73"/>
      <c r="F833" s="73"/>
      <c r="G833" s="73"/>
    </row>
    <row r="834" ht="15.75" customHeight="1">
      <c r="B834" s="73"/>
      <c r="C834" s="73"/>
      <c r="D834" s="73"/>
      <c r="E834" s="73"/>
      <c r="F834" s="73"/>
      <c r="G834" s="73"/>
    </row>
    <row r="835" ht="15.75" customHeight="1">
      <c r="B835" s="73"/>
      <c r="C835" s="73"/>
      <c r="D835" s="73"/>
      <c r="E835" s="73"/>
      <c r="F835" s="73"/>
      <c r="G835" s="73"/>
    </row>
    <row r="836" ht="15.75" customHeight="1">
      <c r="B836" s="73"/>
      <c r="C836" s="73"/>
      <c r="D836" s="73"/>
      <c r="E836" s="73"/>
      <c r="F836" s="73"/>
      <c r="G836" s="73"/>
    </row>
    <row r="837" ht="15.75" customHeight="1">
      <c r="B837" s="73"/>
      <c r="C837" s="73"/>
      <c r="D837" s="73"/>
      <c r="E837" s="73"/>
      <c r="F837" s="73"/>
      <c r="G837" s="73"/>
    </row>
    <row r="838" ht="15.75" customHeight="1">
      <c r="B838" s="73"/>
      <c r="C838" s="73"/>
      <c r="D838" s="73"/>
      <c r="E838" s="73"/>
      <c r="F838" s="73"/>
      <c r="G838" s="73"/>
    </row>
    <row r="839" ht="15.75" customHeight="1">
      <c r="B839" s="73"/>
      <c r="C839" s="73"/>
      <c r="D839" s="73"/>
      <c r="E839" s="73"/>
      <c r="F839" s="73"/>
      <c r="G839" s="73"/>
    </row>
    <row r="840" ht="15.75" customHeight="1">
      <c r="B840" s="73"/>
      <c r="C840" s="73"/>
      <c r="D840" s="73"/>
      <c r="E840" s="73"/>
      <c r="F840" s="73"/>
      <c r="G840" s="73"/>
    </row>
    <row r="841" ht="15.75" customHeight="1">
      <c r="B841" s="73"/>
      <c r="C841" s="73"/>
      <c r="D841" s="73"/>
      <c r="E841" s="73"/>
      <c r="F841" s="73"/>
      <c r="G841" s="73"/>
    </row>
    <row r="842" ht="15.75" customHeight="1">
      <c r="B842" s="73"/>
      <c r="C842" s="73"/>
      <c r="D842" s="73"/>
      <c r="E842" s="73"/>
      <c r="F842" s="73"/>
      <c r="G842" s="73"/>
    </row>
    <row r="843" ht="15.75" customHeight="1">
      <c r="B843" s="73"/>
      <c r="C843" s="73"/>
      <c r="D843" s="73"/>
      <c r="E843" s="73"/>
      <c r="F843" s="73"/>
      <c r="G843" s="73"/>
    </row>
    <row r="844" ht="15.75" customHeight="1">
      <c r="B844" s="73"/>
      <c r="C844" s="73"/>
      <c r="D844" s="73"/>
      <c r="E844" s="73"/>
      <c r="F844" s="73"/>
      <c r="G844" s="73"/>
    </row>
    <row r="845" ht="15.75" customHeight="1">
      <c r="B845" s="73"/>
      <c r="C845" s="73"/>
      <c r="D845" s="73"/>
      <c r="E845" s="73"/>
      <c r="F845" s="73"/>
      <c r="G845" s="73"/>
    </row>
    <row r="846" ht="15.75" customHeight="1">
      <c r="B846" s="73"/>
      <c r="C846" s="73"/>
      <c r="D846" s="73"/>
      <c r="E846" s="73"/>
      <c r="F846" s="73"/>
      <c r="G846" s="73"/>
    </row>
    <row r="847" ht="15.75" customHeight="1">
      <c r="B847" s="73"/>
      <c r="C847" s="73"/>
      <c r="D847" s="73"/>
      <c r="E847" s="73"/>
      <c r="F847" s="73"/>
      <c r="G847" s="73"/>
    </row>
    <row r="848" ht="15.75" customHeight="1">
      <c r="B848" s="73"/>
      <c r="C848" s="73"/>
      <c r="D848" s="73"/>
      <c r="E848" s="73"/>
      <c r="F848" s="73"/>
      <c r="G848" s="73"/>
    </row>
    <row r="849" ht="15.75" customHeight="1">
      <c r="B849" s="73"/>
      <c r="C849" s="73"/>
      <c r="D849" s="73"/>
      <c r="E849" s="73"/>
      <c r="F849" s="73"/>
      <c r="G849" s="73"/>
    </row>
    <row r="850" ht="15.75" customHeight="1">
      <c r="B850" s="73"/>
      <c r="C850" s="73"/>
      <c r="D850" s="73"/>
      <c r="E850" s="73"/>
      <c r="F850" s="73"/>
      <c r="G850" s="73"/>
    </row>
    <row r="851" ht="15.75" customHeight="1">
      <c r="B851" s="73"/>
      <c r="C851" s="73"/>
      <c r="D851" s="73"/>
      <c r="E851" s="73"/>
      <c r="F851" s="73"/>
      <c r="G851" s="73"/>
    </row>
    <row r="852" ht="15.75" customHeight="1">
      <c r="B852" s="73"/>
      <c r="C852" s="73"/>
      <c r="D852" s="73"/>
      <c r="E852" s="73"/>
      <c r="F852" s="73"/>
      <c r="G852" s="73"/>
    </row>
    <row r="853" ht="15.75" customHeight="1">
      <c r="B853" s="73"/>
      <c r="C853" s="73"/>
      <c r="D853" s="73"/>
      <c r="E853" s="73"/>
      <c r="F853" s="73"/>
      <c r="G853" s="73"/>
    </row>
    <row r="854" ht="15.75" customHeight="1">
      <c r="B854" s="73"/>
      <c r="C854" s="73"/>
      <c r="D854" s="73"/>
      <c r="E854" s="73"/>
      <c r="F854" s="73"/>
      <c r="G854" s="73"/>
    </row>
    <row r="855" ht="15.75" customHeight="1">
      <c r="B855" s="73"/>
      <c r="C855" s="73"/>
      <c r="D855" s="73"/>
      <c r="E855" s="73"/>
      <c r="F855" s="73"/>
      <c r="G855" s="73"/>
    </row>
    <row r="856" ht="15.75" customHeight="1">
      <c r="B856" s="73"/>
      <c r="C856" s="73"/>
      <c r="D856" s="73"/>
      <c r="E856" s="73"/>
      <c r="F856" s="73"/>
      <c r="G856" s="73"/>
    </row>
    <row r="857" ht="15.75" customHeight="1">
      <c r="B857" s="73"/>
      <c r="C857" s="73"/>
      <c r="D857" s="73"/>
      <c r="E857" s="73"/>
      <c r="F857" s="73"/>
      <c r="G857" s="73"/>
    </row>
    <row r="858" ht="15.75" customHeight="1">
      <c r="B858" s="73"/>
      <c r="C858" s="73"/>
      <c r="D858" s="73"/>
      <c r="E858" s="73"/>
      <c r="F858" s="73"/>
      <c r="G858" s="73"/>
    </row>
    <row r="859" ht="15.75" customHeight="1">
      <c r="B859" s="73"/>
      <c r="C859" s="73"/>
      <c r="D859" s="73"/>
      <c r="E859" s="73"/>
      <c r="F859" s="73"/>
      <c r="G859" s="73"/>
    </row>
    <row r="860" ht="15.75" customHeight="1">
      <c r="B860" s="73"/>
      <c r="C860" s="73"/>
      <c r="D860" s="73"/>
      <c r="E860" s="73"/>
      <c r="F860" s="73"/>
      <c r="G860" s="73"/>
    </row>
    <row r="861" ht="15.75" customHeight="1">
      <c r="B861" s="73"/>
      <c r="C861" s="73"/>
      <c r="D861" s="73"/>
      <c r="E861" s="73"/>
      <c r="F861" s="73"/>
      <c r="G861" s="73"/>
    </row>
    <row r="862" ht="15.75" customHeight="1">
      <c r="B862" s="73"/>
      <c r="C862" s="73"/>
      <c r="D862" s="73"/>
      <c r="E862" s="73"/>
      <c r="F862" s="73"/>
      <c r="G862" s="73"/>
    </row>
    <row r="863" ht="15.75" customHeight="1">
      <c r="B863" s="73"/>
      <c r="C863" s="73"/>
      <c r="D863" s="73"/>
      <c r="E863" s="73"/>
      <c r="F863" s="73"/>
      <c r="G863" s="73"/>
    </row>
    <row r="864" ht="15.75" customHeight="1">
      <c r="B864" s="73"/>
      <c r="C864" s="73"/>
      <c r="D864" s="73"/>
      <c r="E864" s="73"/>
      <c r="F864" s="73"/>
      <c r="G864" s="73"/>
    </row>
    <row r="865" ht="15.75" customHeight="1">
      <c r="B865" s="73"/>
      <c r="C865" s="73"/>
      <c r="D865" s="73"/>
      <c r="E865" s="73"/>
      <c r="F865" s="73"/>
      <c r="G865" s="73"/>
    </row>
    <row r="866" ht="15.75" customHeight="1">
      <c r="B866" s="73"/>
      <c r="C866" s="73"/>
      <c r="D866" s="73"/>
      <c r="E866" s="73"/>
      <c r="F866" s="73"/>
      <c r="G866" s="73"/>
    </row>
    <row r="867" ht="15.75" customHeight="1">
      <c r="B867" s="73"/>
      <c r="C867" s="73"/>
      <c r="D867" s="73"/>
      <c r="E867" s="73"/>
      <c r="F867" s="73"/>
      <c r="G867" s="73"/>
    </row>
    <row r="868" ht="15.75" customHeight="1">
      <c r="B868" s="73"/>
      <c r="C868" s="73"/>
      <c r="D868" s="73"/>
      <c r="E868" s="73"/>
      <c r="F868" s="73"/>
      <c r="G868" s="73"/>
    </row>
    <row r="869" ht="15.75" customHeight="1">
      <c r="B869" s="73"/>
      <c r="C869" s="73"/>
      <c r="D869" s="73"/>
      <c r="E869" s="73"/>
      <c r="F869" s="73"/>
      <c r="G869" s="73"/>
    </row>
    <row r="870" ht="15.75" customHeight="1">
      <c r="B870" s="73"/>
      <c r="C870" s="73"/>
      <c r="D870" s="73"/>
      <c r="E870" s="73"/>
      <c r="F870" s="73"/>
      <c r="G870" s="73"/>
    </row>
    <row r="871" ht="15.75" customHeight="1">
      <c r="B871" s="73"/>
      <c r="C871" s="73"/>
      <c r="D871" s="73"/>
      <c r="E871" s="73"/>
      <c r="F871" s="73"/>
      <c r="G871" s="73"/>
    </row>
    <row r="872" ht="15.75" customHeight="1">
      <c r="B872" s="73"/>
      <c r="C872" s="73"/>
      <c r="D872" s="73"/>
      <c r="E872" s="73"/>
      <c r="F872" s="73"/>
      <c r="G872" s="73"/>
    </row>
    <row r="873" ht="15.75" customHeight="1">
      <c r="B873" s="73"/>
      <c r="C873" s="73"/>
      <c r="D873" s="73"/>
      <c r="E873" s="73"/>
      <c r="F873" s="73"/>
      <c r="G873" s="73"/>
    </row>
    <row r="874" ht="15.75" customHeight="1">
      <c r="B874" s="73"/>
      <c r="C874" s="73"/>
      <c r="D874" s="73"/>
      <c r="E874" s="73"/>
      <c r="F874" s="73"/>
      <c r="G874" s="73"/>
    </row>
    <row r="875" ht="15.75" customHeight="1">
      <c r="B875" s="73"/>
      <c r="C875" s="73"/>
      <c r="D875" s="73"/>
      <c r="E875" s="73"/>
      <c r="F875" s="73"/>
      <c r="G875" s="73"/>
    </row>
    <row r="876" ht="15.75" customHeight="1">
      <c r="B876" s="73"/>
      <c r="C876" s="73"/>
      <c r="D876" s="73"/>
      <c r="E876" s="73"/>
      <c r="F876" s="73"/>
      <c r="G876" s="73"/>
    </row>
    <row r="877" ht="15.75" customHeight="1">
      <c r="B877" s="73"/>
      <c r="C877" s="73"/>
      <c r="D877" s="73"/>
      <c r="E877" s="73"/>
      <c r="F877" s="73"/>
      <c r="G877" s="73"/>
    </row>
    <row r="878" ht="15.75" customHeight="1">
      <c r="B878" s="73"/>
      <c r="C878" s="73"/>
      <c r="D878" s="73"/>
      <c r="E878" s="73"/>
      <c r="F878" s="73"/>
      <c r="G878" s="73"/>
    </row>
    <row r="879" ht="15.75" customHeight="1">
      <c r="B879" s="73"/>
      <c r="C879" s="73"/>
      <c r="D879" s="73"/>
      <c r="E879" s="73"/>
      <c r="F879" s="73"/>
      <c r="G879" s="73"/>
    </row>
    <row r="880" ht="15.75" customHeight="1">
      <c r="B880" s="73"/>
      <c r="C880" s="73"/>
      <c r="D880" s="73"/>
      <c r="E880" s="73"/>
      <c r="F880" s="73"/>
      <c r="G880" s="73"/>
    </row>
    <row r="881" ht="15.75" customHeight="1">
      <c r="B881" s="73"/>
      <c r="C881" s="73"/>
      <c r="D881" s="73"/>
      <c r="E881" s="73"/>
      <c r="F881" s="73"/>
      <c r="G881" s="73"/>
    </row>
    <row r="882" ht="15.75" customHeight="1">
      <c r="B882" s="73"/>
      <c r="C882" s="73"/>
      <c r="D882" s="73"/>
      <c r="E882" s="73"/>
      <c r="F882" s="73"/>
      <c r="G882" s="73"/>
    </row>
    <row r="883" ht="15.75" customHeight="1">
      <c r="B883" s="73"/>
      <c r="C883" s="73"/>
      <c r="D883" s="73"/>
      <c r="E883" s="73"/>
      <c r="F883" s="73"/>
      <c r="G883" s="73"/>
    </row>
    <row r="884" ht="15.75" customHeight="1">
      <c r="B884" s="73"/>
      <c r="C884" s="73"/>
      <c r="D884" s="73"/>
      <c r="E884" s="73"/>
      <c r="F884" s="73"/>
      <c r="G884" s="73"/>
    </row>
    <row r="885" ht="15.75" customHeight="1">
      <c r="B885" s="73"/>
      <c r="C885" s="73"/>
      <c r="D885" s="73"/>
      <c r="E885" s="73"/>
      <c r="F885" s="73"/>
      <c r="G885" s="73"/>
    </row>
    <row r="886" ht="15.75" customHeight="1">
      <c r="B886" s="73"/>
      <c r="C886" s="73"/>
      <c r="D886" s="73"/>
      <c r="E886" s="73"/>
      <c r="F886" s="73"/>
      <c r="G886" s="73"/>
    </row>
    <row r="887" ht="15.75" customHeight="1">
      <c r="B887" s="73"/>
      <c r="C887" s="73"/>
      <c r="D887" s="73"/>
      <c r="E887" s="73"/>
      <c r="F887" s="73"/>
      <c r="G887" s="73"/>
    </row>
    <row r="888" ht="15.75" customHeight="1">
      <c r="B888" s="73"/>
      <c r="C888" s="73"/>
      <c r="D888" s="73"/>
      <c r="E888" s="73"/>
      <c r="F888" s="73"/>
      <c r="G888" s="73"/>
    </row>
    <row r="889" ht="15.75" customHeight="1">
      <c r="B889" s="73"/>
      <c r="C889" s="73"/>
      <c r="D889" s="73"/>
      <c r="E889" s="73"/>
      <c r="F889" s="73"/>
      <c r="G889" s="73"/>
    </row>
    <row r="890" ht="15.75" customHeight="1">
      <c r="B890" s="73"/>
      <c r="C890" s="73"/>
      <c r="D890" s="73"/>
      <c r="E890" s="73"/>
      <c r="F890" s="73"/>
      <c r="G890" s="73"/>
    </row>
    <row r="891" ht="15.75" customHeight="1">
      <c r="B891" s="73"/>
      <c r="C891" s="73"/>
      <c r="D891" s="73"/>
      <c r="E891" s="73"/>
      <c r="F891" s="73"/>
      <c r="G891" s="73"/>
    </row>
    <row r="892" ht="15.75" customHeight="1">
      <c r="B892" s="73"/>
      <c r="C892" s="73"/>
      <c r="D892" s="73"/>
      <c r="E892" s="73"/>
      <c r="F892" s="73"/>
      <c r="G892" s="73"/>
    </row>
    <row r="893" ht="15.75" customHeight="1">
      <c r="B893" s="73"/>
      <c r="C893" s="73"/>
      <c r="D893" s="73"/>
      <c r="E893" s="73"/>
      <c r="F893" s="73"/>
      <c r="G893" s="73"/>
    </row>
    <row r="894" ht="15.75" customHeight="1">
      <c r="B894" s="73"/>
      <c r="C894" s="73"/>
      <c r="D894" s="73"/>
      <c r="E894" s="73"/>
      <c r="F894" s="73"/>
      <c r="G894" s="73"/>
    </row>
    <row r="895" ht="15.75" customHeight="1">
      <c r="B895" s="73"/>
      <c r="C895" s="73"/>
      <c r="D895" s="73"/>
      <c r="E895" s="73"/>
      <c r="F895" s="73"/>
      <c r="G895" s="73"/>
    </row>
    <row r="896" ht="15.75" customHeight="1">
      <c r="B896" s="73"/>
      <c r="C896" s="73"/>
      <c r="D896" s="73"/>
      <c r="E896" s="73"/>
      <c r="F896" s="73"/>
      <c r="G896" s="73"/>
    </row>
    <row r="897" ht="15.75" customHeight="1">
      <c r="B897" s="73"/>
      <c r="C897" s="73"/>
      <c r="D897" s="73"/>
      <c r="E897" s="73"/>
      <c r="F897" s="73"/>
      <c r="G897" s="73"/>
    </row>
    <row r="898" ht="15.75" customHeight="1">
      <c r="B898" s="73"/>
      <c r="C898" s="73"/>
      <c r="D898" s="73"/>
      <c r="E898" s="73"/>
      <c r="F898" s="73"/>
      <c r="G898" s="73"/>
    </row>
    <row r="899" ht="15.75" customHeight="1">
      <c r="B899" s="73"/>
      <c r="C899" s="73"/>
      <c r="D899" s="73"/>
      <c r="E899" s="73"/>
      <c r="F899" s="73"/>
      <c r="G899" s="73"/>
    </row>
    <row r="900" ht="15.75" customHeight="1">
      <c r="B900" s="73"/>
      <c r="C900" s="73"/>
      <c r="D900" s="73"/>
      <c r="E900" s="73"/>
      <c r="F900" s="73"/>
      <c r="G900" s="73"/>
    </row>
    <row r="901" ht="15.75" customHeight="1">
      <c r="B901" s="73"/>
      <c r="C901" s="73"/>
      <c r="D901" s="73"/>
      <c r="E901" s="73"/>
      <c r="F901" s="73"/>
      <c r="G901" s="73"/>
    </row>
    <row r="902" ht="15.75" customHeight="1">
      <c r="B902" s="73"/>
      <c r="C902" s="73"/>
      <c r="D902" s="73"/>
      <c r="E902" s="73"/>
      <c r="F902" s="73"/>
      <c r="G902" s="73"/>
    </row>
    <row r="903" ht="15.75" customHeight="1">
      <c r="B903" s="73"/>
      <c r="C903" s="73"/>
      <c r="D903" s="73"/>
      <c r="E903" s="73"/>
      <c r="F903" s="73"/>
      <c r="G903" s="73"/>
    </row>
    <row r="904" ht="15.75" customHeight="1">
      <c r="B904" s="73"/>
      <c r="C904" s="73"/>
      <c r="D904" s="73"/>
      <c r="E904" s="73"/>
      <c r="F904" s="73"/>
      <c r="G904" s="73"/>
    </row>
    <row r="905" ht="15.75" customHeight="1">
      <c r="B905" s="73"/>
      <c r="C905" s="73"/>
      <c r="D905" s="73"/>
      <c r="E905" s="73"/>
      <c r="F905" s="73"/>
      <c r="G905" s="73"/>
    </row>
    <row r="906" ht="15.75" customHeight="1">
      <c r="B906" s="73"/>
      <c r="C906" s="73"/>
      <c r="D906" s="73"/>
      <c r="E906" s="73"/>
      <c r="F906" s="73"/>
      <c r="G906" s="73"/>
    </row>
    <row r="907" ht="15.75" customHeight="1">
      <c r="B907" s="73"/>
      <c r="C907" s="73"/>
      <c r="D907" s="73"/>
      <c r="E907" s="73"/>
      <c r="F907" s="73"/>
      <c r="G907" s="73"/>
    </row>
    <row r="908" ht="15.75" customHeight="1">
      <c r="B908" s="73"/>
      <c r="C908" s="73"/>
      <c r="D908" s="73"/>
      <c r="E908" s="73"/>
      <c r="F908" s="73"/>
      <c r="G908" s="73"/>
    </row>
    <row r="909" ht="15.75" customHeight="1">
      <c r="B909" s="73"/>
      <c r="C909" s="73"/>
      <c r="D909" s="73"/>
      <c r="E909" s="73"/>
      <c r="F909" s="73"/>
      <c r="G909" s="73"/>
    </row>
    <row r="910" ht="15.75" customHeight="1">
      <c r="B910" s="73"/>
      <c r="C910" s="73"/>
      <c r="D910" s="73"/>
      <c r="E910" s="73"/>
      <c r="F910" s="73"/>
      <c r="G910" s="73"/>
    </row>
    <row r="911" ht="15.75" customHeight="1">
      <c r="B911" s="73"/>
      <c r="C911" s="73"/>
      <c r="D911" s="73"/>
      <c r="E911" s="73"/>
      <c r="F911" s="73"/>
      <c r="G911" s="73"/>
    </row>
    <row r="912" ht="15.75" customHeight="1">
      <c r="B912" s="73"/>
      <c r="C912" s="73"/>
      <c r="D912" s="73"/>
      <c r="E912" s="73"/>
      <c r="F912" s="73"/>
      <c r="G912" s="73"/>
    </row>
    <row r="913" ht="15.75" customHeight="1">
      <c r="B913" s="73"/>
      <c r="C913" s="73"/>
      <c r="D913" s="73"/>
      <c r="E913" s="73"/>
      <c r="F913" s="73"/>
      <c r="G913" s="73"/>
    </row>
    <row r="914" ht="15.75" customHeight="1">
      <c r="B914" s="73"/>
      <c r="C914" s="73"/>
      <c r="D914" s="73"/>
      <c r="E914" s="73"/>
      <c r="F914" s="73"/>
      <c r="G914" s="73"/>
    </row>
    <row r="915" ht="15.75" customHeight="1">
      <c r="B915" s="73"/>
      <c r="C915" s="73"/>
      <c r="D915" s="73"/>
      <c r="E915" s="73"/>
      <c r="F915" s="73"/>
      <c r="G915" s="73"/>
    </row>
    <row r="916" ht="15.75" customHeight="1">
      <c r="B916" s="73"/>
      <c r="C916" s="73"/>
      <c r="D916" s="73"/>
      <c r="E916" s="73"/>
      <c r="F916" s="73"/>
      <c r="G916" s="73"/>
    </row>
    <row r="917" ht="15.75" customHeight="1">
      <c r="B917" s="73"/>
      <c r="C917" s="73"/>
      <c r="D917" s="73"/>
      <c r="E917" s="73"/>
      <c r="F917" s="73"/>
      <c r="G917" s="73"/>
    </row>
    <row r="918" ht="15.75" customHeight="1">
      <c r="B918" s="73"/>
      <c r="C918" s="73"/>
      <c r="D918" s="73"/>
      <c r="E918" s="73"/>
      <c r="F918" s="73"/>
      <c r="G918" s="73"/>
    </row>
    <row r="919" ht="15.75" customHeight="1">
      <c r="B919" s="73"/>
      <c r="C919" s="73"/>
      <c r="D919" s="73"/>
      <c r="E919" s="73"/>
      <c r="F919" s="73"/>
      <c r="G919" s="73"/>
    </row>
    <row r="920" ht="15.75" customHeight="1">
      <c r="B920" s="73"/>
      <c r="C920" s="73"/>
      <c r="D920" s="73"/>
      <c r="E920" s="73"/>
      <c r="F920" s="73"/>
      <c r="G920" s="73"/>
    </row>
    <row r="921" ht="15.75" customHeight="1">
      <c r="B921" s="73"/>
      <c r="C921" s="73"/>
      <c r="D921" s="73"/>
      <c r="E921" s="73"/>
      <c r="F921" s="73"/>
      <c r="G921" s="73"/>
    </row>
    <row r="922" ht="15.75" customHeight="1">
      <c r="B922" s="73"/>
      <c r="C922" s="73"/>
      <c r="D922" s="73"/>
      <c r="E922" s="73"/>
      <c r="F922" s="73"/>
      <c r="G922" s="73"/>
    </row>
    <row r="923" ht="15.75" customHeight="1">
      <c r="B923" s="73"/>
      <c r="C923" s="73"/>
      <c r="D923" s="73"/>
      <c r="E923" s="73"/>
      <c r="F923" s="73"/>
      <c r="G923" s="73"/>
    </row>
    <row r="924" ht="15.75" customHeight="1">
      <c r="B924" s="73"/>
      <c r="C924" s="73"/>
      <c r="D924" s="73"/>
      <c r="E924" s="73"/>
      <c r="F924" s="73"/>
      <c r="G924" s="73"/>
    </row>
    <row r="925" ht="15.75" customHeight="1">
      <c r="B925" s="73"/>
      <c r="C925" s="73"/>
      <c r="D925" s="73"/>
      <c r="E925" s="73"/>
      <c r="F925" s="73"/>
      <c r="G925" s="73"/>
    </row>
    <row r="926" ht="15.75" customHeight="1">
      <c r="B926" s="73"/>
      <c r="C926" s="73"/>
      <c r="D926" s="73"/>
      <c r="E926" s="73"/>
      <c r="F926" s="73"/>
      <c r="G926" s="73"/>
    </row>
    <row r="927" ht="15.75" customHeight="1">
      <c r="B927" s="73"/>
      <c r="C927" s="73"/>
      <c r="D927" s="73"/>
      <c r="E927" s="73"/>
      <c r="F927" s="73"/>
      <c r="G927" s="73"/>
    </row>
    <row r="928" ht="15.75" customHeight="1">
      <c r="B928" s="73"/>
      <c r="C928" s="73"/>
      <c r="D928" s="73"/>
      <c r="E928" s="73"/>
      <c r="F928" s="73"/>
      <c r="G928" s="73"/>
    </row>
    <row r="929" ht="15.75" customHeight="1">
      <c r="B929" s="73"/>
      <c r="C929" s="73"/>
      <c r="D929" s="73"/>
      <c r="E929" s="73"/>
      <c r="F929" s="73"/>
      <c r="G929" s="73"/>
    </row>
    <row r="930" ht="15.75" customHeight="1">
      <c r="B930" s="73"/>
      <c r="C930" s="73"/>
      <c r="D930" s="73"/>
      <c r="E930" s="73"/>
      <c r="F930" s="73"/>
      <c r="G930" s="73"/>
    </row>
    <row r="931" ht="15.75" customHeight="1">
      <c r="B931" s="73"/>
      <c r="C931" s="73"/>
      <c r="D931" s="73"/>
      <c r="E931" s="73"/>
      <c r="F931" s="73"/>
      <c r="G931" s="73"/>
    </row>
    <row r="932" ht="15.75" customHeight="1">
      <c r="B932" s="73"/>
      <c r="C932" s="73"/>
      <c r="D932" s="73"/>
      <c r="E932" s="73"/>
      <c r="F932" s="73"/>
      <c r="G932" s="73"/>
    </row>
    <row r="933" ht="15.75" customHeight="1">
      <c r="B933" s="73"/>
      <c r="C933" s="73"/>
      <c r="D933" s="73"/>
      <c r="E933" s="73"/>
      <c r="F933" s="73"/>
      <c r="G933" s="73"/>
    </row>
    <row r="934" ht="15.75" customHeight="1">
      <c r="B934" s="73"/>
      <c r="C934" s="73"/>
      <c r="D934" s="73"/>
      <c r="E934" s="73"/>
      <c r="F934" s="73"/>
      <c r="G934" s="73"/>
    </row>
    <row r="935" ht="15.75" customHeight="1">
      <c r="B935" s="73"/>
      <c r="C935" s="73"/>
      <c r="D935" s="73"/>
      <c r="E935" s="73"/>
      <c r="F935" s="73"/>
      <c r="G935" s="73"/>
    </row>
    <row r="936" ht="15.75" customHeight="1">
      <c r="B936" s="73"/>
      <c r="C936" s="73"/>
      <c r="D936" s="73"/>
      <c r="E936" s="73"/>
      <c r="F936" s="73"/>
      <c r="G936" s="73"/>
    </row>
    <row r="937" ht="15.75" customHeight="1">
      <c r="B937" s="73"/>
      <c r="C937" s="73"/>
      <c r="D937" s="73"/>
      <c r="E937" s="73"/>
      <c r="F937" s="73"/>
      <c r="G937" s="73"/>
    </row>
    <row r="938" ht="15.75" customHeight="1">
      <c r="B938" s="73"/>
      <c r="C938" s="73"/>
      <c r="D938" s="73"/>
      <c r="E938" s="73"/>
      <c r="F938" s="73"/>
      <c r="G938" s="73"/>
    </row>
    <row r="939" ht="15.75" customHeight="1">
      <c r="B939" s="73"/>
      <c r="C939" s="73"/>
      <c r="D939" s="73"/>
      <c r="E939" s="73"/>
      <c r="F939" s="73"/>
      <c r="G939" s="73"/>
    </row>
    <row r="940" ht="15.75" customHeight="1">
      <c r="B940" s="73"/>
      <c r="C940" s="73"/>
      <c r="D940" s="73"/>
      <c r="E940" s="73"/>
      <c r="F940" s="73"/>
      <c r="G940" s="73"/>
    </row>
    <row r="941" ht="15.75" customHeight="1">
      <c r="B941" s="73"/>
      <c r="C941" s="73"/>
      <c r="D941" s="73"/>
      <c r="E941" s="73"/>
      <c r="F941" s="73"/>
      <c r="G941" s="73"/>
    </row>
    <row r="942" ht="15.75" customHeight="1">
      <c r="B942" s="73"/>
      <c r="C942" s="73"/>
      <c r="D942" s="73"/>
      <c r="E942" s="73"/>
      <c r="F942" s="73"/>
      <c r="G942" s="73"/>
    </row>
    <row r="943" ht="15.75" customHeight="1">
      <c r="B943" s="73"/>
      <c r="C943" s="73"/>
      <c r="D943" s="73"/>
      <c r="E943" s="73"/>
      <c r="F943" s="73"/>
      <c r="G943" s="73"/>
    </row>
    <row r="944" ht="15.75" customHeight="1">
      <c r="B944" s="73"/>
      <c r="C944" s="73"/>
      <c r="D944" s="73"/>
      <c r="E944" s="73"/>
      <c r="F944" s="73"/>
      <c r="G944" s="73"/>
    </row>
    <row r="945" ht="15.75" customHeight="1">
      <c r="B945" s="73"/>
      <c r="C945" s="73"/>
      <c r="D945" s="73"/>
      <c r="E945" s="73"/>
      <c r="F945" s="73"/>
      <c r="G945" s="73"/>
    </row>
    <row r="946" ht="15.75" customHeight="1">
      <c r="B946" s="73"/>
      <c r="C946" s="73"/>
      <c r="D946" s="73"/>
      <c r="E946" s="73"/>
      <c r="F946" s="73"/>
      <c r="G946" s="73"/>
    </row>
    <row r="947" ht="15.75" customHeight="1">
      <c r="B947" s="73"/>
      <c r="C947" s="73"/>
      <c r="D947" s="73"/>
      <c r="E947" s="73"/>
      <c r="F947" s="73"/>
      <c r="G947" s="73"/>
    </row>
    <row r="948" ht="15.75" customHeight="1">
      <c r="B948" s="73"/>
      <c r="C948" s="73"/>
      <c r="D948" s="73"/>
      <c r="E948" s="73"/>
      <c r="F948" s="73"/>
      <c r="G948" s="73"/>
    </row>
    <row r="949" ht="15.75" customHeight="1">
      <c r="B949" s="73"/>
      <c r="C949" s="73"/>
      <c r="D949" s="73"/>
      <c r="E949" s="73"/>
      <c r="F949" s="73"/>
      <c r="G949" s="73"/>
    </row>
    <row r="950" ht="15.75" customHeight="1">
      <c r="B950" s="73"/>
      <c r="C950" s="73"/>
      <c r="D950" s="73"/>
      <c r="E950" s="73"/>
      <c r="F950" s="73"/>
      <c r="G950" s="73"/>
    </row>
    <row r="951" ht="15.75" customHeight="1">
      <c r="B951" s="73"/>
      <c r="C951" s="73"/>
      <c r="D951" s="73"/>
      <c r="E951" s="73"/>
      <c r="F951" s="73"/>
      <c r="G951" s="73"/>
    </row>
    <row r="952" ht="15.75" customHeight="1">
      <c r="B952" s="73"/>
      <c r="C952" s="73"/>
      <c r="D952" s="73"/>
      <c r="E952" s="73"/>
      <c r="F952" s="73"/>
      <c r="G952" s="73"/>
    </row>
    <row r="953" ht="15.75" customHeight="1">
      <c r="B953" s="73"/>
      <c r="C953" s="73"/>
      <c r="D953" s="73"/>
      <c r="E953" s="73"/>
      <c r="F953" s="73"/>
      <c r="G953" s="73"/>
    </row>
    <row r="954" ht="15.75" customHeight="1">
      <c r="B954" s="73"/>
      <c r="C954" s="73"/>
      <c r="D954" s="73"/>
      <c r="E954" s="73"/>
      <c r="F954" s="73"/>
      <c r="G954" s="73"/>
    </row>
    <row r="955" ht="15.75" customHeight="1">
      <c r="B955" s="73"/>
      <c r="C955" s="73"/>
      <c r="D955" s="73"/>
      <c r="E955" s="73"/>
      <c r="F955" s="73"/>
      <c r="G955" s="73"/>
    </row>
    <row r="956" ht="15.75" customHeight="1">
      <c r="B956" s="73"/>
      <c r="C956" s="73"/>
      <c r="D956" s="73"/>
      <c r="E956" s="73"/>
      <c r="F956" s="73"/>
      <c r="G956" s="73"/>
    </row>
    <row r="957" ht="15.75" customHeight="1">
      <c r="B957" s="73"/>
      <c r="C957" s="73"/>
      <c r="D957" s="73"/>
      <c r="E957" s="73"/>
      <c r="F957" s="73"/>
      <c r="G957" s="73"/>
    </row>
    <row r="958" ht="15.75" customHeight="1">
      <c r="B958" s="73"/>
      <c r="C958" s="73"/>
      <c r="D958" s="73"/>
      <c r="E958" s="73"/>
      <c r="F958" s="73"/>
      <c r="G958" s="73"/>
    </row>
    <row r="959" ht="15.75" customHeight="1">
      <c r="B959" s="73"/>
      <c r="C959" s="73"/>
      <c r="D959" s="73"/>
      <c r="E959" s="73"/>
      <c r="F959" s="73"/>
      <c r="G959" s="73"/>
    </row>
    <row r="960" ht="15.75" customHeight="1">
      <c r="B960" s="73"/>
      <c r="C960" s="73"/>
      <c r="D960" s="73"/>
      <c r="E960" s="73"/>
      <c r="F960" s="73"/>
      <c r="G960" s="73"/>
    </row>
    <row r="961" ht="15.75" customHeight="1">
      <c r="B961" s="73"/>
      <c r="C961" s="73"/>
      <c r="D961" s="73"/>
      <c r="E961" s="73"/>
      <c r="F961" s="73"/>
      <c r="G961" s="73"/>
    </row>
    <row r="962" ht="15.75" customHeight="1">
      <c r="B962" s="73"/>
      <c r="C962" s="73"/>
      <c r="D962" s="73"/>
      <c r="E962" s="73"/>
      <c r="F962" s="73"/>
      <c r="G962" s="73"/>
    </row>
    <row r="963" ht="15.75" customHeight="1">
      <c r="B963" s="73"/>
      <c r="C963" s="73"/>
      <c r="D963" s="73"/>
      <c r="E963" s="73"/>
      <c r="F963" s="73"/>
      <c r="G963" s="73"/>
    </row>
    <row r="964" ht="15.75" customHeight="1">
      <c r="B964" s="73"/>
      <c r="C964" s="73"/>
      <c r="D964" s="73"/>
      <c r="E964" s="73"/>
      <c r="F964" s="73"/>
      <c r="G964" s="73"/>
    </row>
    <row r="965" ht="15.75" customHeight="1">
      <c r="B965" s="73"/>
      <c r="C965" s="73"/>
      <c r="D965" s="73"/>
      <c r="E965" s="73"/>
      <c r="F965" s="73"/>
      <c r="G965" s="73"/>
    </row>
    <row r="966" ht="15.75" customHeight="1">
      <c r="B966" s="73"/>
      <c r="C966" s="73"/>
      <c r="D966" s="73"/>
      <c r="E966" s="73"/>
      <c r="F966" s="73"/>
      <c r="G966" s="73"/>
    </row>
    <row r="967" ht="15.75" customHeight="1">
      <c r="B967" s="73"/>
      <c r="C967" s="73"/>
      <c r="D967" s="73"/>
      <c r="E967" s="73"/>
      <c r="F967" s="73"/>
      <c r="G967" s="73"/>
    </row>
    <row r="968" ht="15.75" customHeight="1">
      <c r="B968" s="73"/>
      <c r="C968" s="73"/>
      <c r="D968" s="73"/>
      <c r="E968" s="73"/>
      <c r="F968" s="73"/>
      <c r="G968" s="73"/>
    </row>
    <row r="969" ht="15.75" customHeight="1">
      <c r="B969" s="73"/>
      <c r="C969" s="73"/>
      <c r="D969" s="73"/>
      <c r="E969" s="73"/>
      <c r="F969" s="73"/>
      <c r="G969" s="73"/>
    </row>
    <row r="970" ht="15.75" customHeight="1">
      <c r="B970" s="73"/>
      <c r="C970" s="73"/>
      <c r="D970" s="73"/>
      <c r="E970" s="73"/>
      <c r="F970" s="73"/>
      <c r="G970" s="73"/>
    </row>
    <row r="971" ht="15.75" customHeight="1">
      <c r="B971" s="73"/>
      <c r="C971" s="73"/>
      <c r="D971" s="73"/>
      <c r="E971" s="73"/>
      <c r="F971" s="73"/>
      <c r="G971" s="73"/>
    </row>
    <row r="972" ht="15.75" customHeight="1">
      <c r="B972" s="73"/>
      <c r="C972" s="73"/>
      <c r="D972" s="73"/>
      <c r="E972" s="73"/>
      <c r="F972" s="73"/>
      <c r="G972" s="73"/>
    </row>
    <row r="973" ht="15.75" customHeight="1">
      <c r="B973" s="73"/>
      <c r="C973" s="73"/>
      <c r="D973" s="73"/>
      <c r="E973" s="73"/>
      <c r="F973" s="73"/>
      <c r="G973" s="73"/>
    </row>
    <row r="974" ht="15.75" customHeight="1">
      <c r="B974" s="73"/>
      <c r="C974" s="73"/>
      <c r="D974" s="73"/>
      <c r="E974" s="73"/>
      <c r="F974" s="73"/>
      <c r="G974" s="73"/>
    </row>
    <row r="975" ht="15.75" customHeight="1">
      <c r="B975" s="73"/>
      <c r="C975" s="73"/>
      <c r="D975" s="73"/>
      <c r="E975" s="73"/>
      <c r="F975" s="73"/>
      <c r="G975" s="73"/>
    </row>
    <row r="976" ht="15.75" customHeight="1">
      <c r="B976" s="73"/>
      <c r="C976" s="73"/>
      <c r="D976" s="73"/>
      <c r="E976" s="73"/>
      <c r="F976" s="73"/>
      <c r="G976" s="73"/>
    </row>
    <row r="977" ht="15.75" customHeight="1">
      <c r="B977" s="73"/>
      <c r="C977" s="73"/>
      <c r="D977" s="73"/>
      <c r="E977" s="73"/>
      <c r="F977" s="73"/>
      <c r="G977" s="73"/>
    </row>
    <row r="978" ht="15.75" customHeight="1">
      <c r="B978" s="73"/>
      <c r="C978" s="73"/>
      <c r="D978" s="73"/>
      <c r="E978" s="73"/>
      <c r="F978" s="73"/>
      <c r="G978" s="73"/>
    </row>
    <row r="979" ht="15.75" customHeight="1">
      <c r="B979" s="73"/>
      <c r="C979" s="73"/>
      <c r="D979" s="73"/>
      <c r="E979" s="73"/>
      <c r="F979" s="73"/>
      <c r="G979" s="73"/>
    </row>
    <row r="980" ht="15.75" customHeight="1">
      <c r="B980" s="73"/>
      <c r="C980" s="73"/>
      <c r="D980" s="73"/>
      <c r="E980" s="73"/>
      <c r="F980" s="73"/>
      <c r="G980" s="73"/>
    </row>
    <row r="981" ht="15.75" customHeight="1">
      <c r="B981" s="73"/>
      <c r="C981" s="73"/>
      <c r="D981" s="73"/>
      <c r="E981" s="73"/>
      <c r="F981" s="73"/>
      <c r="G981" s="73"/>
    </row>
    <row r="982" ht="15.75" customHeight="1">
      <c r="B982" s="73"/>
      <c r="C982" s="73"/>
      <c r="D982" s="73"/>
      <c r="E982" s="73"/>
      <c r="F982" s="73"/>
      <c r="G982" s="73"/>
    </row>
    <row r="983" ht="15.75" customHeight="1">
      <c r="B983" s="73"/>
      <c r="C983" s="73"/>
      <c r="D983" s="73"/>
      <c r="E983" s="73"/>
      <c r="F983" s="73"/>
      <c r="G983" s="73"/>
    </row>
    <row r="984" ht="15.75" customHeight="1">
      <c r="B984" s="73"/>
      <c r="C984" s="73"/>
      <c r="D984" s="73"/>
      <c r="E984" s="73"/>
      <c r="F984" s="73"/>
      <c r="G984" s="73"/>
    </row>
    <row r="985" ht="15.75" customHeight="1">
      <c r="B985" s="73"/>
      <c r="C985" s="73"/>
      <c r="D985" s="73"/>
      <c r="E985" s="73"/>
      <c r="F985" s="73"/>
      <c r="G985" s="73"/>
    </row>
    <row r="986" ht="15.75" customHeight="1">
      <c r="B986" s="73"/>
      <c r="C986" s="73"/>
      <c r="D986" s="73"/>
      <c r="E986" s="73"/>
      <c r="F986" s="73"/>
      <c r="G986" s="73"/>
    </row>
    <row r="987" ht="15.75" customHeight="1">
      <c r="B987" s="73"/>
      <c r="C987" s="73"/>
      <c r="D987" s="73"/>
      <c r="E987" s="73"/>
      <c r="F987" s="73"/>
      <c r="G987" s="73"/>
    </row>
    <row r="988" ht="15.75" customHeight="1">
      <c r="B988" s="73"/>
      <c r="C988" s="73"/>
      <c r="D988" s="73"/>
      <c r="E988" s="73"/>
      <c r="F988" s="73"/>
      <c r="G988" s="73"/>
    </row>
    <row r="989" ht="15.75" customHeight="1">
      <c r="B989" s="73"/>
      <c r="C989" s="73"/>
      <c r="D989" s="73"/>
      <c r="E989" s="73"/>
      <c r="F989" s="73"/>
      <c r="G989" s="73"/>
    </row>
    <row r="990" ht="15.75" customHeight="1">
      <c r="B990" s="73"/>
      <c r="C990" s="73"/>
      <c r="D990" s="73"/>
      <c r="E990" s="73"/>
      <c r="F990" s="73"/>
      <c r="G990" s="73"/>
    </row>
    <row r="991" ht="15.75" customHeight="1">
      <c r="B991" s="73"/>
      <c r="C991" s="73"/>
      <c r="D991" s="73"/>
      <c r="E991" s="73"/>
      <c r="F991" s="73"/>
      <c r="G991" s="73"/>
    </row>
    <row r="992" ht="15.75" customHeight="1">
      <c r="B992" s="73"/>
      <c r="C992" s="73"/>
      <c r="D992" s="73"/>
      <c r="E992" s="73"/>
      <c r="F992" s="73"/>
      <c r="G992" s="73"/>
    </row>
    <row r="993" ht="15.75" customHeight="1">
      <c r="B993" s="73"/>
      <c r="C993" s="73"/>
      <c r="D993" s="73"/>
      <c r="E993" s="73"/>
      <c r="F993" s="73"/>
      <c r="G993" s="73"/>
    </row>
    <row r="994" ht="15.75" customHeight="1">
      <c r="B994" s="73"/>
      <c r="C994" s="73"/>
      <c r="D994" s="73"/>
      <c r="E994" s="73"/>
      <c r="F994" s="73"/>
      <c r="G994" s="73"/>
    </row>
    <row r="995" ht="15.75" customHeight="1">
      <c r="B995" s="73"/>
      <c r="C995" s="73"/>
      <c r="D995" s="73"/>
      <c r="E995" s="73"/>
      <c r="F995" s="73"/>
      <c r="G995" s="73"/>
    </row>
    <row r="996" ht="15.75" customHeight="1">
      <c r="B996" s="73"/>
      <c r="C996" s="73"/>
      <c r="D996" s="73"/>
      <c r="E996" s="73"/>
      <c r="F996" s="73"/>
      <c r="G996" s="73"/>
    </row>
    <row r="997" ht="15.75" customHeight="1">
      <c r="B997" s="73"/>
      <c r="C997" s="73"/>
      <c r="D997" s="73"/>
      <c r="E997" s="73"/>
      <c r="F997" s="73"/>
      <c r="G997" s="73"/>
    </row>
    <row r="998" ht="15.75" customHeight="1">
      <c r="B998" s="73"/>
      <c r="C998" s="73"/>
      <c r="D998" s="73"/>
      <c r="E998" s="73"/>
      <c r="F998" s="73"/>
      <c r="G998" s="73"/>
    </row>
    <row r="999" ht="15.75" customHeight="1">
      <c r="B999" s="73"/>
      <c r="C999" s="73"/>
      <c r="D999" s="73"/>
      <c r="E999" s="73"/>
      <c r="F999" s="73"/>
      <c r="G999" s="73"/>
    </row>
    <row r="1000" ht="15.75" customHeight="1">
      <c r="B1000" s="73"/>
      <c r="C1000" s="73"/>
      <c r="D1000" s="73"/>
      <c r="E1000" s="73"/>
      <c r="F1000" s="73"/>
      <c r="G1000" s="73"/>
    </row>
  </sheetData>
  <printOptions/>
  <pageMargins bottom="1.0" footer="0.0" header="0.0" left="0.75" right="0.75" top="1.0"/>
  <pageSetup paperSize="9" orientation="portrait"/>
  <drawing r:id="rId1"/>
</worksheet>
</file>